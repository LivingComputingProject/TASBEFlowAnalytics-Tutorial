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coverney\Documents\SynBio\Template\"/>
    </mc:Choice>
  </mc:AlternateContent>
  <xr:revisionPtr revIDLastSave="0" documentId="13_ncr:1_{DA025D87-8DEB-4AA9-8E82-1294F9EABD0E}" xr6:coauthVersionLast="36" xr6:coauthVersionMax="36" xr10:uidLastSave="{00000000-0000-0000-0000-000000000000}"/>
  <bookViews>
    <workbookView xWindow="-50565" yWindow="465" windowWidth="47745" windowHeight="25665" activeTab="4" xr2:uid="{00000000-000D-0000-FFFF-FFFF00000000}"/>
  </bookViews>
  <sheets>
    <sheet name="Experiment" sheetId="6" r:id="rId1"/>
    <sheet name="Samples" sheetId="2" r:id="rId2"/>
    <sheet name="Calibration" sheetId="1" r:id="rId3"/>
    <sheet name="Comparative Analysis" sheetId="12" r:id="rId4"/>
    <sheet name="Transfer Curve Analysis" sheetId="13" r:id="rId5"/>
    <sheet name="Optional Settings" sheetId="15" r:id="rId6"/>
    <sheet name="96w" sheetId="9" r:id="rId7"/>
    <sheet name="48w" sheetId="11" r:id="rId8"/>
    <sheet name="24w" sheetId="10" r:id="rId9"/>
    <sheet name="Batch Results" sheetId="16" r:id="rId10"/>
  </sheets>
  <functionGroups builtInGroupCount="19"/>
  <definedNames>
    <definedName name="I3010I">0</definedName>
    <definedName name="I3535I">1</definedName>
    <definedName name="I3903I">0</definedName>
    <definedName name="I4018I">0</definedName>
    <definedName name="I4619I">0</definedName>
    <definedName name="I4922I">0</definedName>
    <definedName name="I7577I">1</definedName>
    <definedName name="I896I">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<sst xmlns="http://schemas.openxmlformats.org/spreadsheetml/2006/main" count="1439" uniqueCount="695">
  <si>
    <t>blank plasmid</t>
  </si>
  <si>
    <t>all</t>
  </si>
  <si>
    <t>SAMPLE
NUMBER</t>
  </si>
  <si>
    <t>DOX</t>
  </si>
  <si>
    <t>X</t>
  </si>
  <si>
    <t>SAMPLE NAME</t>
  </si>
  <si>
    <t>SAMPLE LOCATION(s)</t>
  </si>
  <si>
    <t>610/20</t>
  </si>
  <si>
    <t>450/50</t>
  </si>
  <si>
    <t>b</t>
  </si>
  <si>
    <t>r</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</si>
  <si>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</si>
  <si>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</si>
  <si>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</si>
  <si>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</si>
  <si>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</si>
  <si>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</si>
  <si>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</si>
  <si>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</si>
  <si>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</si>
  <si>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</si>
  <si>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</si>
  <si>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</si>
  <si>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</si>
  <si>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</si>
  <si>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</si>
  <si>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</si>
  <si>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</si>
  <si>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</si>
  <si>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</si>
  <si>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</si>
  <si>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</si>
  <si>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</si>
  <si>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</si>
  <si>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</si>
  <si>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</si>
  <si>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</si>
  <si>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</si>
  <si>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</si>
  <si>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</si>
  <si>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</si>
  <si>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</si>
  <si>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</si>
  <si>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</si>
  <si>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</si>
  <si>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</si>
  <si>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</si>
  <si>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</si>
  <si>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</si>
  <si>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</si>
  <si>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</si>
  <si>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</si>
  <si>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</si>
  <si>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</si>
  <si>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</si>
  <si>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</si>
  <si>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</si>
  <si>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</si>
  <si>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</si>
  <si>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</si>
  <si>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</si>
  <si>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</si>
  <si>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</si>
  <si>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</si>
  <si>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</si>
  <si>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</si>
  <si>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</si>
  <si>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</si>
  <si>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</si>
  <si>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</si>
  <si>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</si>
  <si>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</si>
  <si>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</si>
  <si>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</si>
  <si>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</si>
  <si>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</si>
  <si>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</si>
  <si>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</si>
  <si>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</si>
  <si>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</si>
  <si>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</si>
  <si>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</si>
  <si>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</si>
  <si>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</si>
  <si>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</si>
  <si>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</si>
  <si>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</si>
  <si>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</si>
  <si>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</si>
  <si>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</si>
  <si>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</si>
  <si>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</si>
  <si>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</si>
  <si>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</si>
  <si>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</si>
  <si>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</si>
  <si>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</si>
  <si>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</si>
  <si>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</si>
  <si>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</si>
  <si>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</si>
  <si>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</si>
  <si>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</si>
  <si>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</si>
  <si>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</si>
  <si>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</si>
  <si>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</si>
  <si>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</si>
  <si>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</si>
  <si>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</si>
  <si>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</si>
  <si>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</si>
  <si>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</si>
  <si>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</si>
  <si>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</si>
  <si>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</si>
  <si>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</si>
  <si>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</si>
  <si>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</si>
  <si>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</si>
  <si>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</si>
  <si>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</si>
  <si>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</si>
  <si>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</si>
  <si>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</si>
  <si>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</si>
  <si>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</si>
  <si>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</si>
  <si>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</si>
  <si>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</si>
  <si>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</si>
  <si>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</si>
  <si>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</si>
  <si>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</si>
  <si>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</si>
  <si>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</si>
  <si>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</si>
  <si>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</si>
  <si>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</si>
  <si>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</si>
  <si>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</si>
  <si>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</si>
  <si>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</si>
  <si>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</si>
  <si>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</si>
  <si>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</si>
  <si>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</si>
  <si>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</si>
  <si>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</si>
  <si>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</si>
  <si>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</si>
  <si>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</si>
  <si>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</si>
  <si>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</si>
  <si>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</si>
  <si>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</si>
  <si>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</si>
  <si>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</si>
  <si>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</si>
  <si>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</si>
  <si>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</si>
  <si>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</si>
  <si>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</si>
  <si>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</si>
  <si>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</si>
  <si>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</si>
  <si>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</si>
  <si>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FITC-A</t>
  </si>
  <si>
    <t>EYFP</t>
  </si>
  <si>
    <t>y</t>
  </si>
  <si>
    <t>515/20</t>
  </si>
  <si>
    <t>PE-Tx-Red-YG-A</t>
  </si>
  <si>
    <t>mKate</t>
  </si>
  <si>
    <t>Pacific Blue-A</t>
  </si>
  <si>
    <t>EBFP2</t>
  </si>
  <si>
    <t>LacI Transfer Curve</t>
  </si>
  <si>
    <t>Location, from "Samples"</t>
  </si>
  <si>
    <t>Filename Template 1</t>
  </si>
  <si>
    <t>Filename Template 2</t>
  </si>
  <si>
    <t>Filename Template 3</t>
  </si>
  <si>
    <t>Filename Template 4</t>
  </si>
  <si>
    <t>Name, from "Samples"</t>
  </si>
  <si>
    <t>Template #</t>
  </si>
  <si>
    <t>B4</t>
  </si>
  <si>
    <t>B5</t>
  </si>
  <si>
    <t>B6</t>
  </si>
  <si>
    <t>B7</t>
  </si>
  <si>
    <t>B8</t>
  </si>
  <si>
    <t>B9</t>
  </si>
  <si>
    <t>B10</t>
  </si>
  <si>
    <t>B11</t>
  </si>
  <si>
    <t>B12</t>
  </si>
  <si>
    <t>C1</t>
  </si>
  <si>
    <t>C2</t>
  </si>
  <si>
    <t>C3</t>
  </si>
  <si>
    <t>C4</t>
  </si>
  <si>
    <t>blank</t>
  </si>
  <si>
    <t>mkate</t>
  </si>
  <si>
    <t>ebfp2</t>
  </si>
  <si>
    <t>mkate_EBFP2_EYFP</t>
  </si>
  <si>
    <t>2012-03-12</t>
  </si>
  <si>
    <t>Plate 1</t>
  </si>
  <si>
    <t>A</t>
  </si>
  <si>
    <t>B</t>
  </si>
  <si>
    <t>C</t>
  </si>
  <si>
    <t>D</t>
  </si>
  <si>
    <t>E</t>
  </si>
  <si>
    <t>F</t>
  </si>
  <si>
    <t>G</t>
  </si>
  <si>
    <t>H</t>
  </si>
  <si>
    <t>Sample Name</t>
  </si>
  <si>
    <t>1_2_3.fcs</t>
  </si>
  <si>
    <t>Condition Key 1</t>
  </si>
  <si>
    <t>Sample Column Name:</t>
  </si>
  <si>
    <t>Explanation</t>
  </si>
  <si>
    <t>Short code</t>
  </si>
  <si>
    <t>Condition Key 2</t>
  </si>
  <si>
    <t>Condition Key 3</t>
  </si>
  <si>
    <t>EXPERIMENT COMPONENTS</t>
  </si>
  <si>
    <t>Preferences for Batch Analysis</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</si>
  <si>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</si>
  <si>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</si>
  <si>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</si>
  <si>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</si>
  <si>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</si>
  <si>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</si>
  <si>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</si>
  <si>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</si>
  <si>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</si>
  <si>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</si>
  <si>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</si>
  <si>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</si>
  <si>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</si>
  <si>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</si>
  <si>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</si>
  <si>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</si>
  <si>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</si>
  <si>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</si>
  <si>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</si>
  <si>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</si>
  <si>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</si>
  <si>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</si>
  <si>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Optional</t>
  </si>
  <si>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</si>
  <si>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</si>
  <si>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</si>
  <si>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</si>
  <si>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</si>
  <si>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</si>
  <si>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</si>
  <si>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</si>
  <si>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</si>
  <si>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</si>
  <si>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</si>
  <si>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</si>
  <si>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</si>
  <si>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</si>
  <si>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</si>
  <si>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</si>
  <si>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</si>
  <si>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</si>
  <si>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</si>
  <si>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</si>
  <si>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</si>
  <si>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</si>
  <si>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</si>
  <si>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</si>
  <si>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</si>
  <si>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</si>
  <si>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</si>
  <si>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</si>
  <si>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</si>
  <si>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</si>
  <si>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</si>
  <si>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</si>
  <si>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</si>
  <si>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</si>
  <si>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</si>
  <si>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</si>
  <si>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</si>
  <si>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</si>
  <si>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</si>
  <si>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</si>
  <si>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</si>
  <si>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</si>
  <si>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</si>
  <si>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</si>
  <si>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</si>
  <si>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</si>
  <si>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</si>
  <si>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</si>
  <si>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</si>
  <si>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</si>
  <si>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</si>
  <si>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</si>
  <si>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</si>
  <si>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</si>
  <si>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</si>
  <si>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</si>
  <si>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</si>
  <si>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</si>
  <si>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</si>
  <si>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</si>
  <si>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</si>
  <si>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</si>
  <si>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</si>
  <si>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</si>
  <si>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</si>
  <si>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</si>
  <si>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transfercurve_analysis_excel</t>
  </si>
  <si>
    <t>Missing Output File Name for Transfer Curve Analysis 1 in "Transfer Curve Analysis" sheet</t>
  </si>
  <si>
    <t>Missing Min Fraction Active in "Transfer Curve Analysis" sheet</t>
  </si>
  <si>
    <t>AssumingSingleInducer</t>
  </si>
  <si>
    <t>Assuming only a single inducer exists</t>
  </si>
  <si>
    <t>template</t>
  </si>
  <si>
    <t>template.displayErrors</t>
  </si>
  <si>
    <t>If true, will display ALL of the TASBE warnings and errors from TemplateExtraction</t>
  </si>
  <si>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</si>
  <si>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</si>
  <si>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</si>
  <si>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</si>
  <si>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</si>
  <si>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</si>
  <si>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</si>
  <si>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</si>
  <si>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</si>
  <si>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</si>
  <si>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</si>
  <si>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</si>
  <si>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</si>
  <si>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</si>
  <si>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</si>
  <si>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</si>
  <si>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</si>
  <si>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</si>
  <si>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</si>
  <si>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</si>
  <si>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C:\Users\coverney\Documents\GitHub\TASBEFlowAnalytics-Tutorial\example_controls</t>
  </si>
  <si>
    <t>Exclude from Batch Analysis</t>
  </si>
  <si>
    <r>
      <rPr>
        <b/>
        <sz val="11"/>
        <rFont val="Calibri"/>
        <family val="2"/>
        <scheme val="minor"/>
      </rPr>
      <t>Optional</t>
    </r>
    <r>
      <rPr>
        <sz val="11"/>
        <rFont val="Calibri"/>
        <family val="2"/>
        <scheme val="minor"/>
      </rPr>
      <t>: Relative to template path.</t>
    </r>
  </si>
  <si>
    <t>Statistics Filename</t>
  </si>
  <si>
    <t>Statistics Filepath</t>
  </si>
  <si>
    <t>Point Cloud Filename</t>
  </si>
  <si>
    <t>Point Cloud Filepath</t>
  </si>
  <si>
    <r>
      <rPr>
        <b/>
        <sz val="11"/>
        <rFont val="Calibri"/>
        <family val="2"/>
        <scheme val="minor"/>
      </rPr>
      <t>Optional</t>
    </r>
    <r>
      <rPr>
        <sz val="11"/>
        <rFont val="Calibri"/>
        <family val="2"/>
        <scheme val="minor"/>
      </rPr>
      <t>: Input Filename template #</t>
    </r>
  </si>
  <si>
    <t>1_2</t>
  </si>
  <si>
    <t>2012-03-12_blank_P3.fcs</t>
  </si>
  <si>
    <t>2012-03-12_EYFP_P3.fcs</t>
  </si>
  <si>
    <t>2012-03-12_mkate_P3.fcs</t>
  </si>
  <si>
    <t>2012-03-12_ebfp2_P3.fcs</t>
  </si>
  <si>
    <t>2012-03-12_mkate_EBFP2_EYFP_P3.fcs</t>
  </si>
  <si>
    <t>2012-03-12_Beads_P3.fcs</t>
  </si>
  <si>
    <t>2012-03-12_Beads2_P3.fcs</t>
  </si>
  <si>
    <r>
      <t>Required</t>
    </r>
    <r>
      <rPr>
        <sz val="12"/>
        <color theme="1"/>
        <rFont val="Calibri"/>
        <family val="2"/>
        <scheme val="minor"/>
      </rPr>
      <t xml:space="preserve">: Click the "Update Filenames" button to generate sample filenames. </t>
    </r>
    <r>
      <rPr>
        <b/>
        <sz val="12"/>
        <color theme="1"/>
        <rFont val="Calibri"/>
        <family val="2"/>
        <scheme val="minor"/>
      </rPr>
      <t>Make sure to click before running analyzeFromExcel.</t>
    </r>
  </si>
  <si>
    <r>
      <rPr>
        <b/>
        <sz val="11"/>
        <rFont val="Calibri"/>
        <family val="2"/>
        <scheme val="minor"/>
      </rPr>
      <t>Optional</t>
    </r>
    <r>
      <rPr>
        <sz val="11"/>
        <rFont val="Calibri"/>
        <family val="2"/>
        <scheme val="minor"/>
      </rPr>
      <t xml:space="preserve">: Relative to template path. </t>
    </r>
  </si>
  <si>
    <t>flow.outputHistogramFile</t>
  </si>
  <si>
    <t>if true, output histogram file for batch analysis</t>
  </si>
  <si>
    <t>flow.outputStatisticsFile</t>
  </si>
  <si>
    <t>if true, output statistics file for batch analysis</t>
  </si>
  <si>
    <r>
      <rPr>
        <b/>
        <sz val="11"/>
        <rFont val="Calibri"/>
        <family val="2"/>
        <scheme val="minor"/>
      </rPr>
      <t>Default</t>
    </r>
    <r>
      <rPr>
        <sz val="11"/>
        <rFont val="Calibri"/>
        <family val="2"/>
        <scheme val="minor"/>
      </rPr>
      <t>: Exp Name (consists of histogram and statistics files)</t>
    </r>
  </si>
  <si>
    <t>B3</t>
  </si>
  <si>
    <r>
      <t xml:space="preserve">Note: This sheet contains all of the experiment overview information. Reference Excel README for more information. </t>
    </r>
    <r>
      <rPr>
        <b/>
        <sz val="14"/>
        <color theme="5" tint="-0.249977111117893"/>
        <rFont val="Calibri"/>
        <family val="2"/>
        <scheme val="minor"/>
      </rPr>
      <t>Sheet is protected!</t>
    </r>
  </si>
  <si>
    <t>Preferences for Plusminus Analysis</t>
  </si>
  <si>
    <t>Preferences for Transfer Curve Analysis</t>
  </si>
  <si>
    <r>
      <rPr>
        <b/>
        <sz val="11"/>
        <color theme="1"/>
        <rFont val="Calibri"/>
        <family val="2"/>
        <scheme val="minor"/>
      </rPr>
      <t>Optional</t>
    </r>
    <r>
      <rPr>
        <sz val="11"/>
        <color theme="1"/>
        <rFont val="Calibri"/>
        <family val="2"/>
        <scheme val="minor"/>
      </rPr>
      <t>: Determines which plate to populate. SAMPLE LOCATION(s) col needed (sheetName,plateName)</t>
    </r>
  </si>
  <si>
    <t>96w,Plate 1</t>
  </si>
  <si>
    <t>Plate Info</t>
  </si>
  <si>
    <r>
      <t xml:space="preserve">96 WELL PLATE: </t>
    </r>
    <r>
      <rPr>
        <b/>
        <sz val="16"/>
        <color theme="5" tint="-0.249977111117893"/>
        <rFont val="Calibri"/>
        <family val="2"/>
        <scheme val="minor"/>
      </rPr>
      <t>Sheet is protected!</t>
    </r>
  </si>
  <si>
    <r>
      <t xml:space="preserve">48 WELL PLATE: </t>
    </r>
    <r>
      <rPr>
        <b/>
        <sz val="16"/>
        <color theme="5" tint="-0.249977111117893"/>
        <rFont val="Calibri"/>
        <family val="2"/>
        <scheme val="minor"/>
      </rPr>
      <t>Sheet is protected!</t>
    </r>
  </si>
  <si>
    <r>
      <t xml:space="preserve">24 WELL PLATE: </t>
    </r>
    <r>
      <rPr>
        <b/>
        <sz val="16"/>
        <color theme="5" tint="-0.249977111117893"/>
        <rFont val="Calibri"/>
        <family val="2"/>
        <scheme val="minor"/>
      </rPr>
      <t>Sheet is protected!</t>
    </r>
  </si>
  <si>
    <t>Sample Column Name=Value</t>
  </si>
  <si>
    <t>DOSE=Low</t>
  </si>
  <si>
    <t>DOSE = High</t>
  </si>
  <si>
    <r>
      <t xml:space="preserve">Only samples with given values for listed condition/column(s) in "Samples" are considered for analysis. There can be multiple groups for a single plusminus analysis. More than one plusminus analysis can be executed as long as the Comparison Groups are aligned with the correct Comparisons. </t>
    </r>
    <r>
      <rPr>
        <b/>
        <sz val="11"/>
        <rFont val="Calibri"/>
        <family val="2"/>
        <scheme val="minor"/>
      </rPr>
      <t>FORMAT</t>
    </r>
    <r>
      <rPr>
        <sz val="11"/>
        <rFont val="Calibri"/>
        <family val="2"/>
        <scheme val="minor"/>
      </rPr>
      <t>: ColName1 = Value1, ColName2 = Value2</t>
    </r>
  </si>
  <si>
    <r>
      <t xml:space="preserve">Only samples with given values for listed condition/column(s)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 </t>
    </r>
    <r>
      <rPr>
        <b/>
        <sz val="11"/>
        <rFont val="Calibri"/>
        <family val="2"/>
        <scheme val="minor"/>
      </rPr>
      <t>FORMAT</t>
    </r>
    <r>
      <rPr>
        <sz val="11"/>
        <rFont val="Calibri"/>
        <family val="2"/>
        <scheme val="minor"/>
      </rPr>
      <t>: ColName1 = Value1, ColName2 = Value2</t>
    </r>
  </si>
  <si>
    <t>Note: This sheet is used to generate the Color Model. Reference Excel README for more information.</t>
  </si>
  <si>
    <t>Rainbow Beads</t>
  </si>
  <si>
    <r>
      <rPr>
        <b/>
        <sz val="11"/>
        <rFont val="Calibri"/>
        <family val="2"/>
        <scheme val="minor"/>
      </rPr>
      <t>Required</t>
    </r>
    <r>
      <rPr>
        <sz val="11"/>
        <rFont val="Calibri"/>
        <family val="2"/>
        <scheme val="minor"/>
      </rPr>
      <t>: Options can be found in BeadCatalog</t>
    </r>
  </si>
  <si>
    <r>
      <rPr>
        <b/>
        <sz val="11"/>
        <rFont val="Calibri"/>
        <family val="2"/>
        <scheme val="minor"/>
      </rPr>
      <t>Optional</t>
    </r>
    <r>
      <rPr>
        <sz val="11"/>
        <rFont val="Calibri"/>
        <family val="2"/>
        <scheme val="minor"/>
      </rPr>
      <t>: log10</t>
    </r>
  </si>
  <si>
    <t>Lot (Bead Batch)</t>
  </si>
  <si>
    <t>Bead Model</t>
  </si>
  <si>
    <t>Range Min</t>
  </si>
  <si>
    <t>Range Max</t>
  </si>
  <si>
    <t>Lot AA01, AA02, AA03, AA04, AB01, AB02, AC01, GAA01-R</t>
  </si>
  <si>
    <t>SpheroTech RCP-30-5A</t>
  </si>
  <si>
    <t>Autofluorescence</t>
  </si>
  <si>
    <r>
      <rPr>
        <b/>
        <sz val="11"/>
        <rFont val="Calibri"/>
        <family val="2"/>
        <scheme val="minor"/>
      </rPr>
      <t>Required</t>
    </r>
    <r>
      <rPr>
        <sz val="11"/>
        <rFont val="Calibri"/>
        <family val="2"/>
        <scheme val="minor"/>
      </rPr>
      <t>: Blank name from "Samples"</t>
    </r>
  </si>
  <si>
    <r>
      <rPr>
        <b/>
        <sz val="11"/>
        <rFont val="Calibri"/>
        <family val="2"/>
        <scheme val="minor"/>
      </rPr>
      <t>Required</t>
    </r>
    <r>
      <rPr>
        <sz val="11"/>
        <rFont val="Calibri"/>
        <family val="2"/>
        <scheme val="minor"/>
      </rPr>
      <t>: Click to cancel analysis</t>
    </r>
  </si>
  <si>
    <t>Missing Output Filename in "Calibration" sheet. Defaulting to exp name.</t>
  </si>
  <si>
    <t>Missing CM Filename in "Transfer Curve Analysis" sheet. Looking in "Calibration" sheet.</t>
  </si>
  <si>
    <t>Missing CM Filepath in "Transfer Curve Analysis" sheet. Looking in "Calibration" sheet.</t>
  </si>
  <si>
    <t>plusminus_analysis_excel</t>
  </si>
  <si>
    <t>Missing CM Filename in "Comparative Analysis" sheet. Looking in "Calibration" sheet.</t>
  </si>
  <si>
    <t>Missing CM Filepath in "Comparative Analysis" sheet. Looking in "Calibration" sheet.</t>
  </si>
  <si>
    <t>Missing Output File Name for Plusminus Analysis 1 in "Comparative Analysis" sheet</t>
  </si>
  <si>
    <t>Missing Output File Name for Plusminus Analysis 2 in "Comparative Analysis" sheet</t>
  </si>
  <si>
    <t>Missing Min Fraction Active in "Comparative Analysis" sheet</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</si>
  <si>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</si>
  <si>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</si>
  <si>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</si>
  <si>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</si>
  <si>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</si>
  <si>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</si>
  <si>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Curve-all-Constitutive-bincounts" contains unsafe characters: abbreviated to "LacITransferCurve-all-Constitutive-bincounts"</t>
  </si>
  <si>
    <t>Name "LacI Transfer Curve-all-active" contains unsafe characters: abbreviated to "LacITransferCurve-all-active"</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</si>
  <si>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</si>
  <si>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</si>
  <si>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</si>
  <si>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</si>
  <si>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</si>
  <si>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</si>
  <si>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</si>
  <si>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</si>
  <si>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Name "DOSE = High-+-bincounts" contains unsafe characters: abbreviated to "DOSE=High-+-bincounts"</t>
  </si>
  <si>
    <t>Name "DOSE = High-+-active" contains unsafe characters: abbreviated to "DOSE=High-+-active"</t>
  </si>
  <si>
    <t>Name "DOSE = High---bincounts" contains unsafe characters: abbreviated to "DOSE=High---bincounts"</t>
  </si>
  <si>
    <t>Name "DOSE = High---active" contains unsafe characters: abbreviated to "DOSE=High---active"</t>
  </si>
  <si>
    <t>Name "DOSE = High-all-Constitutive-bincounts" contains unsafe characters: abbreviated to "DOSE=High-all-Constitutive-bincounts"</t>
  </si>
  <si>
    <t>Name "DOSE = High-all-active" contains unsafe characters: abbreviated to "DOSE=High-all-active"</t>
  </si>
  <si>
    <t>Name "DOSE = High-all-Output-bincounts" contains unsafe characters: abbreviated to "DOSE=High-all-Output-bincounts"</t>
  </si>
  <si>
    <t>Name "DOSE = High-all-mean" contains unsafe characters: abbreviated to "DOSE=High-all-mean"</t>
  </si>
  <si>
    <t>Name "DOSE = High-all-mean-norm" contains unsafe characters: abbreviated to "DOSE=High-all-mean-norm"</t>
  </si>
  <si>
    <t>Name "DOSE = High-all-input-v-cfp" contains unsafe characters: abbreviated to "DOSE=High-all-input-v-cfp"</t>
  </si>
  <si>
    <t>Name "DOSE = High-all-v-cfp" contains unsafe characters: abbreviated to "DOSE=High-all-v-cfp"</t>
  </si>
  <si>
    <t>Name "DOSE = High-all-ratios" contains unsafe characters: abbreviated to "DOSE=High-all-ratios"</t>
  </si>
  <si>
    <t>Name "DOSE = High-all-SNR" contains unsafe characters: abbreviated to "DOSE=High-all-SNR"</t>
  </si>
  <si>
    <t>Name "DOSE = High-all-dSNR" contains unsafe characters: abbreviated to "DOSE=High-all-dSNR"</t>
  </si>
  <si>
    <t>transfercurve</t>
  </si>
  <si>
    <t>transfercurve/plots</t>
  </si>
  <si>
    <t xml:space="preserve"> </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</si>
  <si>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</si>
  <si>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</si>
  <si>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</si>
  <si>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</si>
  <si>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</si>
  <si>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</si>
  <si>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</si>
  <si>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</si>
  <si>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</si>
  <si>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</si>
  <si>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</si>
  <si>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</si>
  <si>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</si>
  <si>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</si>
  <si>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</si>
  <si>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</si>
  <si>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</si>
  <si>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</si>
  <si>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</si>
  <si>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</si>
  <si>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</si>
  <si>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</si>
  <si>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r>
      <rPr>
        <b/>
        <sz val="11"/>
        <rFont val="Calibri"/>
        <family val="2"/>
        <scheme val="minor"/>
      </rPr>
      <t>Optional</t>
    </r>
    <r>
      <rPr>
        <sz val="11"/>
        <rFont val="Calibri"/>
        <family val="2"/>
        <scheme val="minor"/>
      </rPr>
      <t>: Options can be found in BeadCatalog</t>
    </r>
  </si>
  <si>
    <t>SizeBeads</t>
  </si>
  <si>
    <t>flow.onThreshold</t>
  </si>
  <si>
    <t>Threshold to differentiate between on and off events. Points with values equal to threshold are placed in the on group.</t>
  </si>
  <si>
    <t>gating</t>
  </si>
  <si>
    <t>General settings for GMM Gating</t>
  </si>
  <si>
    <t>gating.fixedSeed</t>
  </si>
  <si>
    <t>When true, controls the random seed for GMM Gating</t>
  </si>
  <si>
    <t>sizebeads</t>
  </si>
  <si>
    <t>Settings controlling the interpretation of size calibration beads</t>
  </si>
  <si>
    <t>sizebeads.binIncrement</t>
  </si>
  <si>
    <t>Resolution of histogram bins used for finding size bead peaks</t>
  </si>
  <si>
    <t>sizebeads.forceFirstPeak</t>
  </si>
  <si>
    <t>If set to N, lowest observed size bead peak is forced to be interpreted as Nth peak</t>
  </si>
  <si>
    <t>sizebeads.plot</t>
  </si>
  <si>
    <t>When true, make diagnostic plots while computing size bead unit calibration</t>
  </si>
  <si>
    <t>sizebeads.visiblePlots</t>
  </si>
  <si>
    <t>If true, size bead unit calibration plots are visible; otherwise, they are hidden for later saving</t>
  </si>
  <si>
    <t>sizebeads.plotSize</t>
  </si>
  <si>
    <t>Size (in inches) [X Y] for size bead unit calibration figures</t>
  </si>
  <si>
    <t>Settings controlling excel wrapper preferences</t>
  </si>
  <si>
    <t>Non-fluorescence Channels</t>
  </si>
  <si>
    <t xml:space="preserve">Channel
</t>
  </si>
  <si>
    <t>Channel
(1 to 4)</t>
  </si>
  <si>
    <t xml:space="preserve">Excitation wavelength </t>
  </si>
  <si>
    <t>Non-fluorescence Channels (unprocessed)</t>
  </si>
  <si>
    <r>
      <rPr>
        <b/>
        <sz val="11"/>
        <rFont val="Calibri"/>
        <family val="2"/>
        <scheme val="minor"/>
      </rPr>
      <t>Required</t>
    </r>
    <r>
      <rPr>
        <sz val="11"/>
        <rFont val="Calibri"/>
        <family val="2"/>
        <scheme val="minor"/>
      </rPr>
      <t>: List channel #s (#,#,#) or "all", only applicable to fluorochromes section</t>
    </r>
  </si>
  <si>
    <t>Size Beads</t>
  </si>
  <si>
    <r>
      <t>Optional</t>
    </r>
    <r>
      <rPr>
        <sz val="11"/>
        <rFont val="Calibri"/>
        <family val="2"/>
        <scheme val="minor"/>
      </rPr>
      <t>: Defaults to FSC</t>
    </r>
  </si>
  <si>
    <r>
      <t>Optional</t>
    </r>
    <r>
      <rPr>
        <sz val="11"/>
        <rFont val="Calibri"/>
        <family val="2"/>
        <scheme val="minor"/>
      </rPr>
      <t>: Defaults to FITC</t>
    </r>
  </si>
  <si>
    <t>flow.pointCloudFileType</t>
  </si>
  <si>
    <t>what type of pathname to write to point-cloud JSON header file. 0 stands for absolute, 1 stands for relative.</t>
  </si>
  <si>
    <t xml:space="preserve">Note: This sheet lists out the samples and their corresponding conditions. It is also used for batch analysis. Replicates should share rows with commas separating distinct values (#,#,#). Reference Excel README for more information. </t>
  </si>
  <si>
    <t>batch/plots/</t>
  </si>
  <si>
    <t>batch</t>
  </si>
  <si>
    <t>batch/stats</t>
  </si>
  <si>
    <t>batch/csv</t>
  </si>
  <si>
    <t>colormodel/plots</t>
  </si>
  <si>
    <t>colormodel</t>
  </si>
  <si>
    <t>flow.maxEvents</t>
  </si>
  <si>
    <t>Drop events above this count to avoid memory issues</t>
  </si>
  <si>
    <t>flow.smallFileWarning</t>
  </si>
  <si>
    <t>Threshold for warning that event count is unusually low</t>
  </si>
  <si>
    <t>flow.gateDiscardsWarning</t>
  </si>
  <si>
    <t>Threshold for warning gates are discarding too high a fraction of events</t>
  </si>
  <si>
    <t>flow.preGateDiscardsWarning</t>
  </si>
  <si>
    <t>Threshold for warning pre-gates are discarding too high a fraction of events</t>
  </si>
  <si>
    <t>flow.postGateDiscardsWarning</t>
  </si>
  <si>
    <t>Threshold for warning post-gates are discarding too high a fraction of events</t>
  </si>
  <si>
    <t>flow.eventRatioWarning</t>
  </si>
  <si>
    <t>Generic threshold for warning about different event counts.</t>
  </si>
  <si>
    <t>flow.replicateEventRatioWarning</t>
  </si>
  <si>
    <t>Threshold to warn on variation in replicate event counts.</t>
  </si>
  <si>
    <t>flow.conditionEventRatioWarning</t>
  </si>
  <si>
    <t>Threshold to warn on variation in condition event counts.</t>
  </si>
  <si>
    <t>Min Valid a.u.</t>
  </si>
  <si>
    <t>180614_PPS6K_A02.fcs</t>
  </si>
  <si>
    <t>batch_analysis_excel</t>
  </si>
  <si>
    <t>Missing CM Filename in "Samples" sheet. Looking in "Calibration" sheet.</t>
  </si>
  <si>
    <t>Missing CM Filepath in "Samples" sheet. Looking in "Calibration" sheet.</t>
  </si>
  <si>
    <t>Missing Stem Name in "Samples" sheet</t>
  </si>
  <si>
    <t>Missing Output File Name for Batch Analysis in "Samples" sheet</t>
  </si>
  <si>
    <t>Missing Statistics Filename for Batch Analysis in "Samples" sheet</t>
  </si>
  <si>
    <t>Missing Min Valid au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</si>
  <si>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</si>
  <si>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</si>
  <si>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</si>
  <si>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</si>
  <si>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</si>
  <si>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</si>
  <si>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</si>
  <si>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 contains unsafe characters: abbreviated to "LacITransferCurve"</t>
  </si>
  <si>
    <r>
      <t>CSV Header 1</t>
    </r>
    <r>
      <rPr>
        <sz val="12"/>
        <color theme="1"/>
        <rFont val="Calibri"/>
        <family val="2"/>
        <scheme val="minor"/>
      </rPr>
      <t xml:space="preserve"> (required for .csv files, relative to template path)</t>
    </r>
  </si>
  <si>
    <r>
      <t>CSV Header 2</t>
    </r>
    <r>
      <rPr>
        <sz val="12"/>
        <color theme="1"/>
        <rFont val="Calibri"/>
        <family val="2"/>
        <scheme val="minor"/>
      </rPr>
      <t xml:space="preserve"> (required for .csv files, relative to template path)</t>
    </r>
  </si>
  <si>
    <r>
      <t xml:space="preserve">CSV Header 3 </t>
    </r>
    <r>
      <rPr>
        <sz val="12"/>
        <color theme="1"/>
        <rFont val="Calibri"/>
        <family val="2"/>
        <scheme val="minor"/>
      </rPr>
      <t>(required for .csv files, relative to template path)</t>
    </r>
  </si>
  <si>
    <r>
      <t xml:space="preserve">CSV Header 4 </t>
    </r>
    <r>
      <rPr>
        <sz val="12"/>
        <color theme="1"/>
        <rFont val="Calibri"/>
        <family val="2"/>
        <scheme val="minor"/>
      </rPr>
      <t>(required for .csv files, relative to template path)</t>
    </r>
  </si>
  <si>
    <t>LacI-CAGop_Dox01_PointCloud.csv</t>
  </si>
  <si>
    <t>1_2_3.csv</t>
  </si>
  <si>
    <t>PointCloud</t>
  </si>
  <si>
    <t>C:\Users\coverney\Documents\GitHub\TASBEFlowAnalytics-Tutorial\template_analysis\csv</t>
  </si>
  <si>
    <t>C:\Users\coverney\Documents\GitHub\TASBEFlowAnalytics-Tutorial\template_analysis\csv\LacI-CAGop.json</t>
  </si>
  <si>
    <t xml:space="preserve">   Dox01    </t>
  </si>
  <si>
    <t>Dox02</t>
  </si>
  <si>
    <t>Dox05</t>
  </si>
  <si>
    <t>Dox1</t>
  </si>
  <si>
    <t>Dox2</t>
  </si>
  <si>
    <t>Dox5</t>
  </si>
  <si>
    <t>Dox10</t>
  </si>
  <si>
    <t>Dox20</t>
  </si>
  <si>
    <t>Dox50</t>
  </si>
  <si>
    <t>Dox100</t>
  </si>
  <si>
    <t>Dox200</t>
  </si>
  <si>
    <t>Dox500</t>
  </si>
  <si>
    <t>Dox1000</t>
  </si>
  <si>
    <t>Dox2000</t>
  </si>
  <si>
    <t>LacI-CAGop_Dox02_PointCloud.csv</t>
  </si>
  <si>
    <t>LacI-CAGop_Dox05_PointCloud.csv</t>
  </si>
  <si>
    <t>LacI-CAGop_Dox1_PointCloud.csv</t>
  </si>
  <si>
    <t>LacI-CAGop_Dox2_PointCloud.csv</t>
  </si>
  <si>
    <t>LacI-CAGop_Dox5_PointCloud.csv</t>
  </si>
  <si>
    <t>LacI-CAGop_Dox10_PointCloud.csv</t>
  </si>
  <si>
    <t>LacI-CAGop_Dox20_PointCloud.csv</t>
  </si>
  <si>
    <t>LacI-CAGop_Dox50_PointCloud.csv</t>
  </si>
  <si>
    <t>LacI-CAGop_Dox100_PointCloud.csv</t>
  </si>
  <si>
    <t>LacI-CAGop_Dox200_PointCloud.csv</t>
  </si>
  <si>
    <t>LacI-CAGop_Dox500_PointCloud.csv</t>
  </si>
  <si>
    <t>LacI-CAGop_Dox1000_PointCloud.csv</t>
  </si>
  <si>
    <t>LacI-CAGop_Dox2000_PointCloud.csv</t>
  </si>
  <si>
    <t>1</t>
  </si>
  <si>
    <t>NoSizeBeads</t>
  </si>
  <si>
    <t>Size bead feature not being used.</t>
  </si>
  <si>
    <t>TASBE:ColorModel</t>
  </si>
  <si>
    <t>NoSizeChannel</t>
  </si>
  <si>
    <t>No size bead calibration configured</t>
  </si>
  <si>
    <t>fca_readcsv</t>
  </si>
  <si>
    <t>FilenameMismatch</t>
  </si>
  <si>
    <t>CSV file C:/Users/coverney/Documents/GitHub/TASBEFlowAnalytics-Tutorial/template_analysis/csv/LacI-CAGop_Dox01_PointCloud.csv is not listed in JSON header C:/Users/coverney/Documents/GitHub/TASBEFlowAnalytics-Tutorial/template_analysis/csv/LacI-CAGop.json</t>
  </si>
  <si>
    <t>CSV file C:/Users/coverney/Documents/GitHub/TASBEFlowAnalytics-Tutorial/template_analysis/csv/LacI-CAGop_Dox02_PointCloud.csv is not listed in JSON header C:/Users/coverney/Documents/GitHub/TASBEFlowAnalytics-Tutorial/template_analysis/csv/LacI-CAGop.json</t>
  </si>
  <si>
    <t>CSV file C:/Users/coverney/Documents/GitHub/TASBEFlowAnalytics-Tutorial/template_analysis/csv/LacI-CAGop_Dox05_PointCloud.csv is not listed in JSON header C:/Users/coverney/Documents/GitHub/TASBEFlowAnalytics-Tutorial/template_analysis/csv/LacI-CAGop.json</t>
  </si>
  <si>
    <t>CSV file C:/Users/coverney/Documents/GitHub/TASBEFlowAnalytics-Tutorial/template_analysis/csv/LacI-CAGop_Dox1_PointCloud.csv is not listed in JSON header C:/Users/coverney/Documents/GitHub/TASBEFlowAnalytics-Tutorial/template_analysis/csv/LacI-CAGop.json</t>
  </si>
  <si>
    <t>CSV file C:/Users/coverney/Documents/GitHub/TASBEFlowAnalytics-Tutorial/template_analysis/csv/LacI-CAGop_Dox2_PointCloud.csv is not listed in JSON header C:/Users/coverney/Documents/GitHub/TASBEFlowAnalytics-Tutorial/template_analysis/csv/LacI-CAGop.json</t>
  </si>
  <si>
    <t>CSV file C:/Users/coverney/Documents/GitHub/TASBEFlowAnalytics-Tutorial/template_analysis/csv/LacI-CAGop_Dox5_PointCloud.csv is not listed in JSON header C:/Users/coverney/Documents/GitHub/TASBEFlowAnalytics-Tutorial/template_analysis/csv/LacI-CAGop.json</t>
  </si>
  <si>
    <t>CSV file C:/Users/coverney/Documents/GitHub/TASBEFlowAnalytics-Tutorial/template_analysis/csv/LacI-CAGop_Dox10_PointCloud.csv is not listed in JSON header C:/Users/coverney/Documents/GitHub/TASBEFlowAnalytics-Tutorial/template_analysis/csv/LacI-CAGop.json</t>
  </si>
  <si>
    <t>CSV file C:/Users/coverney/Documents/GitHub/TASBEFlowAnalytics-Tutorial/template_analysis/csv/LacI-CAGop_Dox20_PointCloud.csv is not listed in JSON header C:/Users/coverney/Documents/GitHub/TASBEFlowAnalytics-Tutorial/template_analysis/csv/LacI-CAGop.json</t>
  </si>
  <si>
    <t>CSV file C:/Users/coverney/Documents/GitHub/TASBEFlowAnalytics-Tutorial/template_analysis/csv/LacI-CAGop_Dox50_PointCloud.csv is not listed in JSON header C:/Users/coverney/Documents/GitHub/TASBEFlowAnalytics-Tutorial/template_analysis/csv/LacI-CAGop.json</t>
  </si>
  <si>
    <t>CSV file C:/Users/coverney/Documents/GitHub/TASBEFlowAnalytics-Tutorial/template_analysis/csv/LacI-CAGop_Dox100_PointCloud.csv is not listed in JSON header C:/Users/coverney/Documents/GitHub/TASBEFlowAnalytics-Tutorial/template_analysis/csv/LacI-CAGop.json</t>
  </si>
  <si>
    <t>CSV file C:/Users/coverney/Documents/GitHub/TASBEFlowAnalytics-Tutorial/template_analysis/csv/LacI-CAGop_Dox200_PointCloud.csv is not listed in JSON header C:/Users/coverney/Documents/GitHub/TASBEFlowAnalytics-Tutorial/template_analysis/csv/LacI-CAGop.json</t>
  </si>
  <si>
    <t>CSV file C:/Users/coverney/Documents/GitHub/TASBEFlowAnalytics-Tutorial/template_analysis/csv/LacI-CAGop_Dox500_PointCloud.csv is not listed in JSON header C:/Users/coverney/Documents/GitHub/TASBEFlowAnalytics-Tutorial/template_analysis/csv/LacI-CAGop.json</t>
  </si>
  <si>
    <t>CSV file C:/Users/coverney/Documents/GitHub/TASBEFlowAnalytics-Tutorial/template_analysis/csv/LacI-CAGop_Dox1000_PointCloud.csv is not listed in JSON header C:/Users/coverney/Documents/GitHub/TASBEFlowAnalytics-Tutorial/template_analysis/csv/LacI-CAGop.json</t>
  </si>
  <si>
    <t>CSV file C:/Users/coverney/Documents/GitHub/TASBEFlowAnalytics-Tutorial/template_analysis/csv/LacI-CAGop_Dox2000_PointCloud.csv is not listed in JSON header C:/Users/coverney/Documents/GitHub/TASBEFlowAnalytics-Tutorial/template_analysis/csv/LacI-CAGop.json</t>
  </si>
  <si>
    <t>Name "LacI Transfer Curve-Dox01-bincounts" contains unsafe characters: abbreviated to "LacITransferCurve-Dox01-bincounts"</t>
  </si>
  <si>
    <t>Name "LacI Transfer Curve-Dox02-bincounts" contains unsafe characters: abbreviated to "LacITransferCurve-Dox02-bincounts"</t>
  </si>
  <si>
    <t>Name "LacI Transfer Curve-Dox05-bincounts" contains unsafe characters: abbreviated to "LacITransferCurve-Dox05-bincounts"</t>
  </si>
  <si>
    <t>Name "LacI Transfer Curve-Dox1-bincounts" contains unsafe characters: abbreviated to "LacITransferCurve-Dox1-bincounts"</t>
  </si>
  <si>
    <t>Name "LacI Transfer Curve-Dox2-bincounts" contains unsafe characters: abbreviated to "LacITransferCurve-Dox2-bincounts"</t>
  </si>
  <si>
    <t>Name "LacI Transfer Curve-Dox5-bincounts" contains unsafe characters: abbreviated to "LacITransferCurve-Dox5-bincounts"</t>
  </si>
  <si>
    <t>Name "LacI Transfer Curve-Dox10-bincounts" contains unsafe characters: abbreviated to "LacITransferCurve-Dox10-bincounts"</t>
  </si>
  <si>
    <t>Name "LacI Transfer Curve-Dox20-bincounts" contains unsafe characters: abbreviated to "LacITransferCurve-Dox20-bincounts"</t>
  </si>
  <si>
    <t>Name "LacI Transfer Curve-Dox50-bincounts" contains unsafe characters: abbreviated to "LacITransferCurve-Dox50-bincounts"</t>
  </si>
  <si>
    <t>Name "LacI Transfer Curve-Dox100-bincounts" contains unsafe characters: abbreviated to "LacITransferCurve-Dox100-bincounts"</t>
  </si>
  <si>
    <t>Name "LacI Transfer Curve-Dox200-bincounts" contains unsafe characters: abbreviated to "LacITransferCurve-Dox200-bincounts"</t>
  </si>
  <si>
    <t>Name "LacI Transfer Curve-Dox500-bincounts" contains unsafe characters: abbreviated to "LacITransferCurve-Dox500-bincounts"</t>
  </si>
  <si>
    <t>Name "LacI Transfer Curve-Dox1000-bincounts" contains unsafe characters: abbreviated to "LacITransferCurve-Dox1000-bincounts"</t>
  </si>
  <si>
    <t>Name "LacI Transfer Curve-Dox2000-bincounts" contains unsafe characters: abbreviated to "LacITransferCurve-Dox2000-bincounts"</t>
  </si>
  <si>
    <t>gating.deviations</t>
  </si>
  <si>
    <t>Number of standard deviations within which gate selects data</t>
  </si>
  <si>
    <t>gating.tightening</t>
  </si>
  <si>
    <t>Amount that selected gate components are further tightened (range: [0,1])</t>
  </si>
  <si>
    <t>gating.kComponents</t>
  </si>
  <si>
    <t>Number of gaussian components in a gate</t>
  </si>
  <si>
    <t>gating.channelNames</t>
  </si>
  <si>
    <t>Channels to use for gating</t>
  </si>
  <si>
    <t>FSC-A,SSC-A</t>
  </si>
  <si>
    <t>gating.fraction</t>
  </si>
  <si>
    <t>Fraction of range considered saturated and thus excluded from computation</t>
  </si>
  <si>
    <t>gating.selectedComponents</t>
  </si>
  <si>
    <t>Set to force selection of particular components</t>
  </si>
  <si>
    <t>gating.showNonselected</t>
  </si>
  <si>
    <t>When true, show all gate components; when false, selected components only.</t>
  </si>
  <si>
    <t>gating.largeOutliers</t>
  </si>
  <si>
    <t>When true, plot gate outliers with large dots</t>
  </si>
  <si>
    <t>gating.range</t>
  </si>
  <si>
    <t>Force gate heatmap plotting range of [x_min y_min; x_max y_max]</t>
  </si>
  <si>
    <t>gating.density</t>
  </si>
  <si>
    <t>Gate heatmap style: set to 1 for image, 0 for contour</t>
  </si>
  <si>
    <t>gating.plot</t>
  </si>
  <si>
    <t>Determines whether gating plots should be created</t>
  </si>
  <si>
    <t>gating.plotSize</t>
  </si>
  <si>
    <t>Size (in inches) [X Y] for gating figures</t>
  </si>
  <si>
    <t>gating.visiblePlots</t>
  </si>
  <si>
    <t>If true, gating plots are visible; otherwise, they are hidden for later saving</t>
  </si>
  <si>
    <t>autofluorescence</t>
  </si>
  <si>
    <t>Settings for autofluorescence models</t>
  </si>
  <si>
    <t>autofluorescence.dropFraction</t>
  </si>
  <si>
    <t>Fraction of extrema (high and low) to drop before computing autofluorescence</t>
  </si>
  <si>
    <t>autofluorescence.plot</t>
  </si>
  <si>
    <t>Determines whether autofluorescence plots should be created</t>
  </si>
  <si>
    <t>autofluorescence.visiblePlots</t>
  </si>
  <si>
    <t>If true, autofluorescence plots are visible; otherwise, they are hidden for later saving</t>
  </si>
  <si>
    <t>autofluorescence.plotSize</t>
  </si>
  <si>
    <t>Size (in inches) [X Y] for autofluorescence figures</t>
  </si>
  <si>
    <t>colortranslation</t>
  </si>
  <si>
    <t>Settings for color translation models</t>
  </si>
  <si>
    <t>colortranslation.rangeMin</t>
  </si>
  <si>
    <t>Minimum for color translation histogram range (log10 scale)</t>
  </si>
  <si>
    <t>colortranslation.rangeMax</t>
  </si>
  <si>
    <t>Maximum in histogram for computing color translation (log10 scale)</t>
  </si>
  <si>
    <t>colortranslation.binIncrement</t>
  </si>
  <si>
    <t>Resolution of histogram bins used for computing color translation (log10 scale)</t>
  </si>
  <si>
    <t>colortranslation.minSamples</t>
  </si>
  <si>
    <t>Minimum number of samples in a histogram bin for use in computing color translation</t>
  </si>
  <si>
    <t>colortranslation.channelMinimum</t>
  </si>
  <si>
    <t>If set to [M1, M2, ...] trims channel i values below 10^Mi; otherwise drops those below 10^3</t>
  </si>
  <si>
    <t>colortranslation.plot</t>
  </si>
  <si>
    <t>Determines whether color translation plots should be created</t>
  </si>
  <si>
    <t>colortranslation.visiblePlots</t>
  </si>
  <si>
    <t>If true, color translation plots are visible; otherwise, they are hidden for later saving</t>
  </si>
  <si>
    <t>colortranslation.plotSize</t>
  </si>
  <si>
    <t>Size (in inches) [X Y] for color translation figures</t>
  </si>
  <si>
    <t>flow.saturationWarning</t>
  </si>
  <si>
    <t>Threshold for warning when detector is saturated</t>
  </si>
  <si>
    <t>flow.saturationMinValidCount</t>
  </si>
  <si>
    <t>Threshold for peak value warning when detector is saturated</t>
  </si>
  <si>
    <t>flow.conditionFracGatedWarning</t>
  </si>
  <si>
    <t>Threshold to warn on variation in fraction of gated particles. Value should be from 0 to 1.</t>
  </si>
  <si>
    <t>TASBE session logging enabled, release 8.1.0-alpha</t>
  </si>
  <si>
    <t>22-06-2019 11:41:39</t>
  </si>
  <si>
    <t>Id</t>
  </si>
  <si>
    <t>BinCount_EYFP_MEFL</t>
  </si>
  <si>
    <t>BinCount_mKate_MEFL</t>
  </si>
  <si>
    <t>BinCount_EBFP2_MEFL</t>
  </si>
  <si>
    <t>GeoMean_EYFP_MEFL</t>
  </si>
  <si>
    <t>GeoMean_mKate_MEFL</t>
  </si>
  <si>
    <t>GeoMean_EBFP2_MEFL</t>
  </si>
  <si>
    <t>GeoStdDev_EYFP_MEFL</t>
  </si>
  <si>
    <t>GeoStdDev_mKate_MEFL</t>
  </si>
  <si>
    <t>GeoStdDev_EBFP2_MEFL</t>
  </si>
  <si>
    <t>GMM_Component1_Mean_EYFP_MEFL</t>
  </si>
  <si>
    <t>GMM_Component2_Mean_EYFP_MEFL</t>
  </si>
  <si>
    <t>GMM_Component1_Mean_mKate_MEFL</t>
  </si>
  <si>
    <t>GMM_Component2_Mean_mKate_MEFL</t>
  </si>
  <si>
    <t>GMM_Component1_Mean_EBFP2_MEFL</t>
  </si>
  <si>
    <t>GMM_Component2_Mean_EBFP2_MEFL</t>
  </si>
  <si>
    <t>GMM_Component1_Std_EYFP_MEFL</t>
  </si>
  <si>
    <t>GMM_Component2_Std_EYFP_MEFL</t>
  </si>
  <si>
    <t>GMM_Component1_Std_mKate_MEFL</t>
  </si>
  <si>
    <t>GMM_Component2_Std_mKate_MEFL</t>
  </si>
  <si>
    <t>GMM_Component1_Std_EBFP2_MEFL</t>
  </si>
  <si>
    <t>GMM_Component2_Std_EBFP2_MEFL</t>
  </si>
  <si>
    <t>GMM_Component1_Weight_EYFP_MEFL</t>
  </si>
  <si>
    <t>GMM_Component2_Weight_EYFP_MEFL</t>
  </si>
  <si>
    <t>GMM_Component1_Weight_mKate_MEFL</t>
  </si>
  <si>
    <t>GMM_Component2_Weight_mKate_MEFL</t>
  </si>
  <si>
    <t>GMM_Component1_Weight_EBFP2_MEFL</t>
  </si>
  <si>
    <t>GMM_Component2_Weight_EBFP2_MEFL</t>
  </si>
  <si>
    <t>On Fraction</t>
  </si>
  <si>
    <t>Off Fraction</t>
  </si>
  <si>
    <t>Dox01</t>
  </si>
  <si>
    <t>22-06-2019 11:49:09</t>
  </si>
  <si>
    <t>22-06-2019 11:49:11</t>
  </si>
  <si>
    <t>22-06-2019 11:52:06</t>
  </si>
  <si>
    <t>22-06-2019 11:53:36</t>
  </si>
  <si>
    <t>TASBE:Plots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</si>
</sst>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b/>
      <sz val="14"/>
      <color theme="5" tint="-0.249977111117893"/>
      <name val="Calibri"/>
      <family val="2"/>
      <scheme val="minor"/>
    </font>
    <font>
      <b/>
      <sz val="22"/>
      <color theme="1"/>
      <name val="Calibri"/>
      <family val="2"/>
      <scheme val="minor"/>
    </font>
    <font>
      <b/>
      <sz val="20"/>
      <color theme="1"/>
      <name val="Calibri"/>
      <family val="2"/>
      <scheme val="minor"/>
    </font>
    <font>
      <b/>
      <sz val="16"/>
      <color theme="5" tint="-0.249977111117893"/>
      <name val="Calibri"/>
      <family val="2"/>
      <scheme val="minor"/>
    </font>
    <font>
      <sz val="12"/>
      <color rgb="FFFF0000"/>
      <name val="Calibri"/>
      <family val="2"/>
      <scheme val="minor"/>
    </font>
    <font>
      <sz val="12"/>
      <color rgb="FF008000"/>
      <name val="Calibri"/>
      <family val="2"/>
      <scheme val="minor"/>
    </font>
    <font>
      <sz val="12"/>
      <color rgb="FFE67E00"/>
      <name val="Calibri"/>
      <family val="2"/>
      <scheme val="minor"/>
    </font>
    <font>
      <sz val="12"/>
      <color rgb="FF0000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55">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medium">
        <color indexed="64"/>
      </left>
      <right style="thin">
        <color auto="1"/>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right style="thin">
        <color auto="1"/>
      </right>
      <top style="medium">
        <color indexed="64"/>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thin">
        <color auto="1"/>
      </top>
      <bottom/>
      <diagonal/>
    </border>
    <border>
      <left/>
      <right style="medium">
        <color indexed="64"/>
      </right>
      <top style="thin">
        <color auto="1"/>
      </top>
      <bottom style="thin">
        <color auto="1"/>
      </bottom>
      <diagonal/>
    </border>
    <border>
      <left style="medium">
        <color indexed="64"/>
      </left>
      <right style="thin">
        <color auto="1"/>
      </right>
      <top style="thin">
        <color auto="1"/>
      </top>
      <bottom/>
      <diagonal/>
    </border>
    <border>
      <left/>
      <right style="thin">
        <color auto="1"/>
      </right>
      <top style="thin">
        <color auto="1"/>
      </top>
      <bottom/>
      <diagonal/>
    </border>
    <border>
      <left/>
      <right style="medium">
        <color indexed="64"/>
      </right>
      <top/>
      <bottom/>
      <diagonal/>
    </border>
    <border>
      <left style="thin">
        <color auto="1"/>
      </left>
      <right/>
      <top style="thin">
        <color auto="1"/>
      </top>
      <bottom/>
      <diagonal/>
    </border>
    <border>
      <left/>
      <right style="medium">
        <color indexed="64"/>
      </right>
      <top style="thin">
        <color auto="1"/>
      </top>
      <bottom/>
      <diagonal/>
    </border>
    <border>
      <left style="thin">
        <color auto="1"/>
      </left>
      <right/>
      <top/>
      <bottom/>
      <diagonal/>
    </border>
    <border>
      <left style="thin">
        <color auto="1"/>
      </left>
      <right/>
      <top/>
      <bottom style="medium">
        <color indexed="64"/>
      </bottom>
      <diagonal/>
    </border>
    <border>
      <left/>
      <right style="medium">
        <color indexed="64"/>
      </right>
      <top/>
      <bottom style="medium">
        <color indexed="64"/>
      </bottom>
      <diagonal/>
    </border>
    <border>
      <left/>
      <right style="thin">
        <color indexed="64"/>
      </right>
      <top/>
      <bottom/>
      <diagonal/>
    </border>
  </borders>
  <cellStyleXfs count="1">
    <xf numFmtId="0" fontId="0" fillId="0" borderId="0"/>
  </cellStyleXfs>
  <cellXfs count="376">
    <xf numFmtId="0" fontId="0" fillId="0" borderId="0" xfId="0"/>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5"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5" fillId="9" borderId="6" xfId="0" applyFont="1" applyFill="1" applyBorder="1" applyProtection="1">
      <protection locked="0"/>
    </xf>
    <xf numFmtId="0" fontId="16" fillId="8" borderId="18" xfId="0" applyFont="1" applyFill="1" applyBorder="1" applyAlignment="1" applyProtection="1">
      <alignment horizontal="left" vertical="center"/>
      <protection locked="0"/>
    </xf>
    <xf numFmtId="0" fontId="16" fillId="8" borderId="19" xfId="0" applyFont="1" applyFill="1" applyBorder="1" applyAlignment="1" applyProtection="1">
      <alignment vertical="center" wrapText="1"/>
      <protection locked="0"/>
    </xf>
    <xf numFmtId="0" fontId="16" fillId="8" borderId="19" xfId="0" applyFont="1" applyFill="1" applyBorder="1" applyAlignment="1" applyProtection="1">
      <alignment horizontal="center" vertical="center" wrapText="1"/>
      <protection locked="0"/>
    </xf>
    <xf numFmtId="0" fontId="15" fillId="9" borderId="21" xfId="0" applyFont="1" applyFill="1" applyBorder="1" applyProtection="1">
      <protection locked="0"/>
    </xf>
    <xf numFmtId="0" fontId="0" fillId="0" borderId="23" xfId="0" applyBorder="1" applyProtection="1">
      <protection locked="0"/>
    </xf>
    <xf numFmtId="0" fontId="0" fillId="0" borderId="22" xfId="0" applyBorder="1" applyProtection="1">
      <protection locked="0"/>
    </xf>
    <xf numFmtId="0" fontId="0" fillId="0" borderId="0" xfId="0" applyFont="1" applyFill="1" applyBorder="1" applyProtection="1">
      <protection locked="0"/>
    </xf>
    <xf numFmtId="0" fontId="0" fillId="0" borderId="0" xfId="0" applyFont="1" applyBorder="1" applyProtection="1">
      <protection locked="0"/>
    </xf>
    <xf numFmtId="0" fontId="15" fillId="0" borderId="0" xfId="0" applyFont="1" applyFill="1" applyBorder="1" applyAlignment="1" applyProtection="1">
      <protection locked="0"/>
    </xf>
    <xf numFmtId="0" fontId="0" fillId="0" borderId="0" xfId="0" applyFont="1" applyAlignment="1" applyProtection="1">
      <alignment horizontal="center"/>
      <protection locked="0"/>
    </xf>
    <xf numFmtId="0" fontId="16" fillId="8" borderId="4" xfId="0" applyFont="1" applyFill="1" applyBorder="1" applyAlignment="1" applyProtection="1">
      <alignment horizontal="center"/>
      <protection locked="0"/>
    </xf>
    <xf numFmtId="0" fontId="15" fillId="9" borderId="4" xfId="0" applyFont="1" applyFill="1" applyBorder="1" applyProtection="1">
      <protection locked="0"/>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5" fillId="0" borderId="8"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4" xfId="0" applyFont="1" applyBorder="1" applyAlignment="1" applyProtection="1">
      <alignment horizontal="center" vertical="center" wrapText="1" shrinkToFit="1"/>
      <protection locked="0"/>
    </xf>
    <xf numFmtId="49" fontId="0" fillId="4" borderId="4" xfId="0" applyNumberFormat="1" applyFont="1" applyFill="1" applyBorder="1" applyAlignment="1" applyProtection="1">
      <alignment horizontal="center" vertical="center"/>
      <protection locked="0"/>
    </xf>
    <xf numFmtId="0" fontId="17" fillId="0" borderId="9" xfId="0" applyFont="1" applyFill="1" applyBorder="1" applyAlignment="1" applyProtection="1">
      <alignment horizontal="center" vertical="center" wrapText="1"/>
      <protection locked="0"/>
    </xf>
    <xf numFmtId="0" fontId="29" fillId="0" borderId="7" xfId="0" applyFont="1" applyFill="1" applyBorder="1" applyAlignment="1" applyProtection="1">
      <alignment horizontal="center" vertical="center" wrapText="1"/>
      <protection locked="0"/>
    </xf>
    <xf numFmtId="0" fontId="13" fillId="0" borderId="12" xfId="0" applyFont="1" applyFill="1" applyBorder="1" applyAlignment="1" applyProtection="1">
      <alignment horizontal="center" vertical="center" wrapText="1"/>
      <protection locked="0"/>
    </xf>
    <xf numFmtId="0" fontId="13" fillId="4" borderId="10" xfId="0" applyFont="1" applyFill="1" applyBorder="1" applyAlignment="1" applyProtection="1">
      <alignment horizontal="center" vertical="center" wrapText="1"/>
      <protection locked="0"/>
    </xf>
    <xf numFmtId="0" fontId="19" fillId="4" borderId="10" xfId="0" applyFont="1" applyFill="1" applyBorder="1" applyAlignment="1" applyProtection="1">
      <alignment horizontal="center" vertical="center" wrapText="1"/>
      <protection locked="0"/>
    </xf>
    <xf numFmtId="0" fontId="0" fillId="0" borderId="0" xfId="0" applyProtection="1">
      <protection locked="0"/>
    </xf>
    <xf numFmtId="0" fontId="23" fillId="0" borderId="0" xfId="0" applyFont="1" applyFill="1" applyBorder="1" applyAlignment="1" applyProtection="1">
      <protection locked="0"/>
    </xf>
    <xf numFmtId="0" fontId="15" fillId="0" borderId="0" xfId="0" applyFont="1" applyFill="1" applyBorder="1" applyAlignment="1" applyProtection="1">
      <alignment vertical="center"/>
      <protection locked="0"/>
    </xf>
    <xf numFmtId="0" fontId="0" fillId="0" borderId="0" xfId="0" applyBorder="1" applyProtection="1">
      <protection locked="0"/>
    </xf>
    <xf numFmtId="0" fontId="7" fillId="4" borderId="4" xfId="0" applyFont="1" applyFill="1" applyBorder="1" applyAlignment="1" applyProtection="1">
      <alignment horizontal="center" vertical="center" wrapText="1"/>
      <protection locked="0"/>
    </xf>
    <xf numFmtId="0" fontId="11" fillId="4" borderId="4" xfId="0" applyFont="1" applyFill="1" applyBorder="1" applyAlignment="1" applyProtection="1">
      <alignment horizontal="center" vertical="center" wrapText="1"/>
      <protection locked="0"/>
    </xf>
    <xf numFmtId="0" fontId="19" fillId="0" borderId="0" xfId="0" applyFont="1" applyFill="1" applyBorder="1" applyAlignment="1" applyProtection="1">
      <alignment vertical="center"/>
      <protection locked="0"/>
    </xf>
    <xf numFmtId="49" fontId="16" fillId="6" borderId="4" xfId="0" applyNumberFormat="1" applyFont="1" applyFill="1" applyBorder="1" applyAlignment="1" applyProtection="1">
      <alignment horizontal="center" vertical="center" wrapText="1"/>
      <protection locked="0"/>
    </xf>
    <xf numFmtId="0" fontId="0" fillId="10" borderId="4" xfId="0" applyFont="1" applyFill="1" applyBorder="1" applyAlignment="1" applyProtection="1">
      <alignment horizontal="center" vertical="center"/>
      <protection locked="0"/>
    </xf>
    <xf numFmtId="0" fontId="0" fillId="0" borderId="11" xfId="0" applyFont="1" applyBorder="1" applyProtection="1">
      <protection locked="0"/>
    </xf>
    <xf numFmtId="0" fontId="15" fillId="0" borderId="12" xfId="0" applyFont="1" applyFill="1" applyBorder="1" applyAlignment="1" applyProtection="1">
      <alignment horizontal="center" vertical="center"/>
      <protection locked="0"/>
    </xf>
    <xf numFmtId="0" fontId="15" fillId="0" borderId="10" xfId="0" applyFont="1" applyBorder="1" applyAlignment="1" applyProtection="1">
      <alignment horizontal="center" vertical="center"/>
      <protection locked="0"/>
    </xf>
    <xf numFmtId="0" fontId="0" fillId="4" borderId="10" xfId="0" applyFont="1" applyFill="1" applyBorder="1" applyAlignment="1" applyProtection="1">
      <alignment horizontal="center" vertical="center"/>
      <protection locked="0"/>
    </xf>
    <xf numFmtId="0" fontId="0" fillId="0" borderId="10" xfId="0" applyFont="1" applyFill="1" applyBorder="1" applyAlignment="1" applyProtection="1">
      <alignment horizontal="center" vertical="center"/>
      <protection locked="0"/>
    </xf>
    <xf numFmtId="0" fontId="0" fillId="0" borderId="10" xfId="0" applyFont="1" applyBorder="1" applyAlignment="1" applyProtection="1">
      <alignment horizontal="center" vertical="center" wrapText="1" shrinkToFit="1"/>
      <protection locked="0"/>
    </xf>
    <xf numFmtId="0" fontId="0" fillId="10" borderId="10" xfId="0" applyFont="1" applyFill="1" applyBorder="1" applyAlignment="1" applyProtection="1">
      <alignment horizontal="center" vertical="center"/>
      <protection locked="0"/>
    </xf>
    <xf numFmtId="0" fontId="15" fillId="0" borderId="4" xfId="0" applyFont="1" applyBorder="1" applyAlignment="1" applyProtection="1">
      <alignment horizontal="center" vertical="center"/>
      <protection locked="0"/>
    </xf>
    <xf numFmtId="0" fontId="19" fillId="4" borderId="4" xfId="0" applyFont="1" applyFill="1" applyBorder="1" applyAlignment="1" applyProtection="1">
      <alignment horizontal="center" vertical="center" wrapText="1"/>
      <protection locked="0"/>
    </xf>
    <xf numFmtId="0" fontId="19" fillId="9" borderId="7" xfId="0" applyFont="1" applyFill="1" applyBorder="1" applyAlignment="1" applyProtection="1">
      <alignment horizontal="center" vertical="center" wrapText="1"/>
    </xf>
    <xf numFmtId="0" fontId="0" fillId="0" borderId="0" xfId="0" applyFont="1" applyAlignment="1" applyProtection="1">
      <alignment vertical="center"/>
      <protection locked="0"/>
    </xf>
    <xf numFmtId="0" fontId="0" fillId="0" borderId="0" xfId="0" applyNumberFormat="1" applyFont="1" applyAlignment="1" applyProtection="1">
      <alignment vertical="center"/>
      <protection locked="0"/>
    </xf>
    <xf numFmtId="2" fontId="0" fillId="0" borderId="0" xfId="0" applyNumberFormat="1" applyFont="1" applyAlignment="1" applyProtection="1">
      <alignment vertical="center"/>
      <protection locked="0"/>
    </xf>
    <xf numFmtId="49" fontId="0" fillId="0" borderId="0" xfId="0" applyNumberFormat="1" applyFont="1" applyAlignment="1" applyProtection="1">
      <alignment vertical="center"/>
      <protection locked="0"/>
    </xf>
    <xf numFmtId="0" fontId="0" fillId="0" borderId="0" xfId="0" applyNumberFormat="1" applyFont="1" applyFill="1" applyBorder="1" applyAlignment="1" applyProtection="1">
      <alignment horizontal="left" vertical="center" wrapText="1"/>
      <protection locked="0"/>
    </xf>
    <xf numFmtId="0" fontId="0" fillId="0" borderId="0" xfId="0" applyFont="1" applyFill="1" applyBorder="1" applyAlignment="1" applyProtection="1">
      <alignment horizontal="left" vertical="center" wrapText="1"/>
      <protection locked="0"/>
    </xf>
    <xf numFmtId="49" fontId="0" fillId="0" borderId="0" xfId="0" applyNumberFormat="1" applyFont="1" applyFill="1" applyBorder="1" applyAlignment="1" applyProtection="1">
      <alignment horizontal="left" vertical="center" wrapText="1"/>
      <protection locked="0"/>
    </xf>
    <xf numFmtId="0" fontId="15" fillId="4" borderId="8" xfId="0" applyNumberFormat="1" applyFont="1" applyFill="1" applyBorder="1" applyAlignment="1" applyProtection="1">
      <alignment horizontal="center" vertical="center"/>
      <protection locked="0"/>
    </xf>
    <xf numFmtId="0" fontId="15" fillId="4" borderId="11" xfId="0" applyFont="1" applyFill="1" applyBorder="1" applyAlignment="1" applyProtection="1">
      <alignment horizontal="center" vertical="center"/>
      <protection locked="0"/>
    </xf>
    <xf numFmtId="0" fontId="0" fillId="0" borderId="0" xfId="0" applyFont="1" applyBorder="1" applyAlignment="1" applyProtection="1">
      <alignment vertical="center"/>
      <protection locked="0"/>
    </xf>
    <xf numFmtId="0" fontId="0" fillId="0" borderId="0" xfId="0" applyFont="1" applyBorder="1" applyAlignment="1" applyProtection="1">
      <alignment vertical="center" wrapText="1"/>
      <protection locked="0"/>
    </xf>
    <xf numFmtId="0" fontId="15" fillId="2" borderId="8" xfId="0" applyNumberFormat="1" applyFont="1" applyFill="1" applyBorder="1" applyAlignment="1" applyProtection="1">
      <alignment horizontal="center" vertical="center"/>
      <protection locked="0"/>
    </xf>
    <xf numFmtId="0" fontId="15" fillId="2" borderId="11" xfId="0" applyFont="1" applyFill="1" applyBorder="1" applyAlignment="1" applyProtection="1">
      <alignment horizontal="center" vertical="center"/>
      <protection locked="0"/>
    </xf>
    <xf numFmtId="0" fontId="0" fillId="0" borderId="8" xfId="0" applyFont="1" applyBorder="1" applyAlignment="1" applyProtection="1">
      <alignment horizontal="center" vertical="center"/>
      <protection locked="0"/>
    </xf>
    <xf numFmtId="49" fontId="0" fillId="0" borderId="4" xfId="0" applyNumberFormat="1" applyFont="1" applyBorder="1" applyAlignment="1" applyProtection="1">
      <alignment horizontal="center" vertical="center"/>
      <protection locked="0"/>
    </xf>
    <xf numFmtId="0" fontId="0" fillId="0" borderId="4" xfId="0" applyFont="1" applyBorder="1" applyAlignment="1" applyProtection="1">
      <alignment horizontal="center" vertical="center"/>
      <protection locked="0"/>
    </xf>
    <xf numFmtId="0" fontId="28" fillId="0" borderId="8" xfId="0" applyNumberFormat="1" applyFont="1" applyBorder="1" applyAlignment="1" applyProtection="1">
      <alignment horizontal="center" vertical="center"/>
      <protection locked="0"/>
    </xf>
    <xf numFmtId="0" fontId="28" fillId="0" borderId="11" xfId="0" applyFont="1" applyBorder="1" applyAlignment="1" applyProtection="1">
      <alignment horizontal="center" vertical="center"/>
      <protection locked="0"/>
    </xf>
    <xf numFmtId="0" fontId="0" fillId="0" borderId="4" xfId="0" applyFont="1" applyBorder="1" applyAlignment="1" applyProtection="1">
      <alignment horizontal="center" vertical="center" wrapText="1"/>
      <protection locked="0"/>
    </xf>
    <xf numFmtId="0" fontId="15" fillId="0" borderId="0" xfId="0" applyFont="1" applyBorder="1" applyAlignment="1" applyProtection="1">
      <alignment vertical="center"/>
      <protection locked="0"/>
    </xf>
    <xf numFmtId="0" fontId="0" fillId="0" borderId="12" xfId="0"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0" fontId="0" fillId="0" borderId="10" xfId="0" applyFont="1" applyBorder="1" applyAlignment="1" applyProtection="1">
      <alignment horizontal="center" vertical="center"/>
      <protection locked="0"/>
    </xf>
    <xf numFmtId="0" fontId="21" fillId="0" borderId="0" xfId="0" applyFont="1" applyBorder="1" applyAlignment="1" applyProtection="1">
      <alignment horizontal="center" vertical="center"/>
      <protection locked="0"/>
    </xf>
    <xf numFmtId="0" fontId="28" fillId="0" borderId="12" xfId="0" applyNumberFormat="1" applyFont="1" applyBorder="1" applyAlignment="1" applyProtection="1">
      <alignment horizontal="center" vertical="center"/>
      <protection locked="0"/>
    </xf>
    <xf numFmtId="0" fontId="28" fillId="0" borderId="13" xfId="0" applyFont="1" applyBorder="1" applyAlignment="1" applyProtection="1">
      <alignment horizontal="center" vertical="center" wrapText="1"/>
      <protection locked="0"/>
    </xf>
    <xf numFmtId="0" fontId="15" fillId="0" borderId="0" xfId="0" applyNumberFormat="1" applyFont="1" applyBorder="1" applyAlignment="1" applyProtection="1">
      <alignment vertical="center"/>
      <protection locked="0"/>
    </xf>
    <xf numFmtId="0" fontId="15" fillId="0" borderId="0" xfId="0" applyFont="1" applyBorder="1" applyAlignment="1" applyProtection="1">
      <alignment horizontal="left" vertical="center" wrapText="1"/>
      <protection locked="0"/>
    </xf>
    <xf numFmtId="0" fontId="0" fillId="0" borderId="0" xfId="0" applyFont="1" applyBorder="1" applyAlignment="1" applyProtection="1">
      <alignment horizontal="center" vertical="center"/>
      <protection locked="0"/>
    </xf>
    <xf numFmtId="49" fontId="0" fillId="0" borderId="0" xfId="0" applyNumberFormat="1" applyFont="1" applyBorder="1" applyAlignment="1" applyProtection="1">
      <alignment horizontal="center" vertical="center"/>
      <protection locked="0"/>
    </xf>
    <xf numFmtId="0" fontId="28" fillId="0" borderId="0" xfId="0" applyNumberFormat="1" applyFont="1" applyBorder="1" applyAlignment="1" applyProtection="1">
      <alignment horizontal="center" vertical="center"/>
      <protection locked="0"/>
    </xf>
    <xf numFmtId="0" fontId="28" fillId="0" borderId="0" xfId="0" applyFont="1" applyBorder="1" applyAlignment="1" applyProtection="1">
      <alignment horizontal="center" vertical="center" wrapText="1"/>
      <protection locked="0"/>
    </xf>
    <xf numFmtId="0" fontId="15" fillId="4" borderId="8" xfId="0" applyNumberFormat="1" applyFont="1" applyFill="1" applyBorder="1" applyAlignment="1" applyProtection="1">
      <alignment horizontal="center" vertical="center"/>
    </xf>
    <xf numFmtId="0" fontId="15" fillId="2" borderId="8" xfId="0" applyNumberFormat="1" applyFont="1" applyFill="1" applyBorder="1" applyAlignment="1" applyProtection="1">
      <alignment horizontal="center" vertical="center"/>
    </xf>
    <xf numFmtId="0" fontId="15" fillId="2" borderId="11" xfId="0" applyFont="1" applyFill="1" applyBorder="1" applyAlignment="1" applyProtection="1">
      <alignment horizontal="center" vertical="center"/>
    </xf>
    <xf numFmtId="0" fontId="18" fillId="2" borderId="4" xfId="0" applyFont="1" applyFill="1" applyBorder="1" applyAlignment="1" applyProtection="1">
      <alignment horizontal="center" vertical="center" wrapText="1"/>
    </xf>
    <xf numFmtId="0" fontId="19" fillId="9" borderId="34" xfId="0" applyFont="1" applyFill="1" applyBorder="1" applyAlignment="1" applyProtection="1">
      <alignment horizontal="center" vertical="center"/>
      <protection locked="0"/>
    </xf>
    <xf numFmtId="0" fontId="19" fillId="9" borderId="30" xfId="0" applyFont="1" applyFill="1" applyBorder="1" applyAlignment="1" applyProtection="1">
      <alignment horizontal="center" vertical="center"/>
      <protection locked="0"/>
    </xf>
    <xf numFmtId="0" fontId="19" fillId="4" borderId="12" xfId="0" applyFont="1" applyFill="1" applyBorder="1" applyAlignment="1" applyProtection="1">
      <alignment horizontal="center" vertical="center" wrapText="1"/>
      <protection locked="0"/>
    </xf>
    <xf numFmtId="0" fontId="19" fillId="9" borderId="40" xfId="0" applyFont="1" applyFill="1" applyBorder="1" applyAlignment="1" applyProtection="1">
      <alignment horizontal="center" vertical="center"/>
      <protection locked="0"/>
    </xf>
    <xf numFmtId="0" fontId="18" fillId="3" borderId="7" xfId="0" applyFont="1" applyFill="1" applyBorder="1" applyAlignment="1" applyProtection="1">
      <alignment horizontal="center" vertical="center"/>
      <protection locked="0"/>
    </xf>
    <xf numFmtId="0" fontId="28" fillId="0" borderId="7" xfId="0" applyFont="1" applyBorder="1" applyAlignment="1" applyProtection="1">
      <alignment horizontal="center" vertical="center"/>
      <protection locked="0"/>
    </xf>
    <xf numFmtId="0" fontId="28" fillId="0" borderId="14" xfId="0" applyFont="1" applyBorder="1" applyAlignment="1" applyProtection="1">
      <alignment horizontal="center" vertical="center"/>
      <protection locked="0"/>
    </xf>
    <xf numFmtId="0" fontId="19" fillId="4" borderId="12" xfId="0" applyFont="1" applyFill="1" applyBorder="1" applyAlignment="1" applyProtection="1">
      <alignment horizontal="center" vertical="center"/>
      <protection locked="0"/>
    </xf>
    <xf numFmtId="0" fontId="20" fillId="3" borderId="10" xfId="0" applyFont="1" applyFill="1" applyBorder="1" applyAlignment="1" applyProtection="1">
      <alignment horizontal="center" vertical="center"/>
      <protection locked="0"/>
    </xf>
    <xf numFmtId="0" fontId="17" fillId="3" borderId="10" xfId="0" applyFont="1" applyFill="1" applyBorder="1" applyAlignment="1" applyProtection="1">
      <alignment horizontal="center" vertical="center"/>
      <protection locked="0"/>
    </xf>
    <xf numFmtId="0" fontId="0" fillId="0" borderId="13" xfId="0" applyFont="1" applyBorder="1" applyAlignment="1" applyProtection="1">
      <alignment horizontal="center" vertical="center"/>
      <protection locked="0"/>
    </xf>
    <xf numFmtId="0" fontId="30" fillId="0" borderId="5" xfId="0" applyFont="1" applyFill="1" applyBorder="1" applyAlignment="1" applyProtection="1">
      <alignment horizontal="center" vertical="center" wrapText="1"/>
      <protection locked="0"/>
    </xf>
    <xf numFmtId="0" fontId="18" fillId="0" borderId="25" xfId="0" applyFont="1" applyFill="1" applyBorder="1" applyAlignment="1" applyProtection="1">
      <alignment horizontal="center" vertical="center"/>
      <protection locked="0"/>
    </xf>
    <xf numFmtId="0" fontId="29" fillId="0" borderId="8" xfId="0" applyFont="1" applyFill="1" applyBorder="1" applyAlignment="1" applyProtection="1">
      <alignment horizontal="center" vertical="center"/>
      <protection locked="0"/>
    </xf>
    <xf numFmtId="0" fontId="19" fillId="4" borderId="4" xfId="0" applyFont="1" applyFill="1" applyBorder="1" applyAlignment="1" applyProtection="1">
      <alignment horizontal="center" vertical="center"/>
      <protection locked="0"/>
    </xf>
    <xf numFmtId="0" fontId="19" fillId="4" borderId="11" xfId="0" applyFont="1" applyFill="1" applyBorder="1" applyAlignment="1" applyProtection="1">
      <alignment horizontal="center" vertical="center"/>
      <protection locked="0"/>
    </xf>
    <xf numFmtId="0" fontId="19" fillId="4" borderId="10" xfId="0" applyFont="1" applyFill="1" applyBorder="1" applyAlignment="1" applyProtection="1">
      <alignment horizontal="center" vertical="center"/>
      <protection locked="0"/>
    </xf>
    <xf numFmtId="0" fontId="19" fillId="4" borderId="13" xfId="0" applyFont="1" applyFill="1" applyBorder="1" applyAlignment="1" applyProtection="1">
      <alignment horizontal="center" vertical="center"/>
      <protection locked="0"/>
    </xf>
    <xf numFmtId="0" fontId="28" fillId="0" borderId="0" xfId="0" applyFont="1" applyAlignment="1" applyProtection="1">
      <alignment horizontal="center" vertical="center"/>
      <protection locked="0"/>
    </xf>
    <xf numFmtId="0" fontId="19" fillId="5" borderId="12" xfId="0" applyFont="1" applyFill="1" applyBorder="1" applyAlignment="1" applyProtection="1">
      <alignment horizontal="center" vertical="center"/>
      <protection locked="0"/>
    </xf>
    <xf numFmtId="0" fontId="30" fillId="0" borderId="11" xfId="0" applyFont="1" applyFill="1" applyBorder="1" applyAlignment="1" applyProtection="1">
      <alignment horizontal="center" vertical="center" wrapText="1"/>
      <protection locked="0"/>
    </xf>
    <xf numFmtId="0" fontId="8" fillId="4" borderId="10" xfId="0" applyFont="1" applyFill="1" applyBorder="1" applyAlignment="1" applyProtection="1">
      <alignment horizontal="center" vertical="center" wrapText="1"/>
      <protection locked="0"/>
    </xf>
    <xf numFmtId="0" fontId="14" fillId="4" borderId="10" xfId="0" applyFont="1" applyFill="1" applyBorder="1" applyAlignment="1" applyProtection="1">
      <alignment horizontal="center" vertical="center" wrapText="1"/>
      <protection locked="0"/>
    </xf>
    <xf numFmtId="0" fontId="19" fillId="9" borderId="33" xfId="0" applyFont="1" applyFill="1" applyBorder="1" applyAlignment="1" applyProtection="1">
      <alignment horizontal="center" vertical="center" wrapText="1"/>
    </xf>
    <xf numFmtId="0" fontId="19" fillId="9" borderId="34" xfId="0" applyFont="1" applyFill="1" applyBorder="1" applyAlignment="1" applyProtection="1">
      <alignment horizontal="center" vertical="center"/>
    </xf>
    <xf numFmtId="0" fontId="29" fillId="9" borderId="34" xfId="0" applyFont="1" applyFill="1" applyBorder="1" applyAlignment="1" applyProtection="1">
      <alignment horizontal="center" vertical="center"/>
    </xf>
    <xf numFmtId="0" fontId="19" fillId="9" borderId="34" xfId="0" applyFont="1" applyFill="1" applyBorder="1" applyAlignment="1" applyProtection="1">
      <alignment horizontal="center" vertical="center" wrapText="1"/>
    </xf>
    <xf numFmtId="0" fontId="29" fillId="0" borderId="9" xfId="0" applyFont="1" applyFill="1" applyBorder="1" applyAlignment="1" applyProtection="1">
      <alignment horizontal="center" vertical="center"/>
    </xf>
    <xf numFmtId="0" fontId="29" fillId="0" borderId="7" xfId="0" applyFont="1" applyFill="1" applyBorder="1" applyAlignment="1" applyProtection="1">
      <alignment horizontal="center" vertical="center"/>
    </xf>
    <xf numFmtId="0" fontId="29" fillId="3" borderId="7" xfId="0" applyFont="1" applyFill="1" applyBorder="1" applyAlignment="1" applyProtection="1">
      <alignment horizontal="center" vertical="center" wrapText="1"/>
    </xf>
    <xf numFmtId="0" fontId="17" fillId="0" borderId="7" xfId="0" applyFont="1" applyBorder="1" applyAlignment="1" applyProtection="1">
      <alignment horizontal="center" vertical="center" wrapText="1"/>
    </xf>
    <xf numFmtId="0" fontId="29" fillId="9" borderId="33" xfId="0" applyFont="1" applyFill="1" applyBorder="1" applyAlignment="1" applyProtection="1">
      <alignment horizontal="center" vertical="center"/>
    </xf>
    <xf numFmtId="0" fontId="29" fillId="0" borderId="9" xfId="0" applyFont="1" applyFill="1" applyBorder="1" applyAlignment="1" applyProtection="1">
      <alignment horizontal="center" vertical="center" wrapText="1"/>
    </xf>
    <xf numFmtId="0" fontId="19" fillId="9" borderId="33" xfId="0" applyFont="1" applyFill="1" applyBorder="1" applyAlignment="1" applyProtection="1">
      <alignment horizontal="center" vertical="center"/>
    </xf>
    <xf numFmtId="0" fontId="29" fillId="9" borderId="34" xfId="0" applyFont="1" applyFill="1" applyBorder="1" applyAlignment="1" applyProtection="1">
      <alignment horizontal="center" vertical="center" wrapText="1"/>
    </xf>
    <xf numFmtId="0" fontId="19" fillId="9" borderId="40" xfId="0" applyFont="1" applyFill="1" applyBorder="1" applyAlignment="1" applyProtection="1">
      <alignment horizontal="center" vertical="center" wrapText="1"/>
    </xf>
    <xf numFmtId="0" fontId="29" fillId="0" borderId="7" xfId="0" applyFont="1" applyFill="1" applyBorder="1" applyAlignment="1" applyProtection="1">
      <alignment horizontal="center" vertical="center" wrapText="1"/>
    </xf>
    <xf numFmtId="0" fontId="29" fillId="0" borderId="7" xfId="0" applyFont="1" applyBorder="1" applyAlignment="1" applyProtection="1">
      <alignment horizontal="center" vertical="center" wrapText="1"/>
    </xf>
    <xf numFmtId="0" fontId="17" fillId="0" borderId="8" xfId="0" applyFont="1" applyFill="1" applyBorder="1" applyAlignment="1" applyProtection="1">
      <alignment horizontal="center" vertical="center" wrapText="1"/>
    </xf>
    <xf numFmtId="0" fontId="29" fillId="0" borderId="4" xfId="0" applyFont="1" applyFill="1" applyBorder="1" applyAlignment="1" applyProtection="1">
      <alignment horizontal="center" vertical="center" wrapText="1"/>
    </xf>
    <xf numFmtId="0" fontId="19" fillId="9" borderId="4" xfId="0" applyFont="1" applyFill="1" applyBorder="1" applyAlignment="1" applyProtection="1">
      <alignment horizontal="center" vertical="center" wrapText="1"/>
    </xf>
    <xf numFmtId="0" fontId="29" fillId="7" borderId="4" xfId="0" applyFont="1" applyFill="1" applyBorder="1" applyAlignment="1" applyProtection="1">
      <alignment horizontal="center" vertical="center" wrapText="1"/>
    </xf>
    <xf numFmtId="0" fontId="19" fillId="9" borderId="35" xfId="0" applyFont="1" applyFill="1" applyBorder="1" applyAlignment="1" applyProtection="1">
      <alignment horizontal="center" vertical="center" wrapText="1"/>
    </xf>
    <xf numFmtId="0" fontId="0" fillId="0" borderId="0" xfId="0" applyFill="1" applyBorder="1" applyProtection="1">
      <protection locked="0"/>
    </xf>
    <xf numFmtId="0" fontId="10" fillId="4" borderId="4" xfId="0" applyFont="1" applyFill="1" applyBorder="1" applyAlignment="1" applyProtection="1">
      <alignment horizontal="center" vertical="center" wrapText="1"/>
      <protection locked="0"/>
    </xf>
    <xf numFmtId="11" fontId="0" fillId="0" borderId="0" xfId="0" applyNumberFormat="1" applyProtection="1">
      <protection locked="0"/>
    </xf>
    <xf numFmtId="0" fontId="15" fillId="0" borderId="4" xfId="0" applyFont="1" applyBorder="1" applyAlignment="1" applyProtection="1">
      <alignment horizontal="center" vertical="center"/>
      <protection locked="0"/>
    </xf>
    <xf numFmtId="0" fontId="17" fillId="9" borderId="9" xfId="0" applyFont="1" applyFill="1" applyBorder="1" applyAlignment="1" applyProtection="1">
      <alignment horizontal="center" vertical="center"/>
      <protection locked="0"/>
    </xf>
    <xf numFmtId="49" fontId="16" fillId="6" borderId="8" xfId="0" applyNumberFormat="1" applyFont="1" applyFill="1" applyBorder="1" applyAlignment="1" applyProtection="1">
      <alignment horizontal="center" vertical="center" wrapText="1"/>
      <protection locked="0"/>
    </xf>
    <xf numFmtId="0" fontId="19" fillId="9" borderId="5" xfId="0" applyFont="1" applyFill="1" applyBorder="1" applyAlignment="1" applyProtection="1">
      <alignment horizontal="center" vertical="center" wrapText="1"/>
    </xf>
    <xf numFmtId="0" fontId="19" fillId="9" borderId="7" xfId="0" applyFont="1" applyFill="1" applyBorder="1" applyAlignment="1" applyProtection="1">
      <alignment horizontal="center" vertical="center"/>
    </xf>
    <xf numFmtId="0" fontId="29" fillId="9" borderId="7" xfId="0" applyFont="1" applyFill="1" applyBorder="1" applyAlignment="1" applyProtection="1">
      <alignment horizontal="center" vertical="center"/>
    </xf>
    <xf numFmtId="0" fontId="29" fillId="9" borderId="5" xfId="0" applyFont="1" applyFill="1" applyBorder="1" applyAlignment="1" applyProtection="1">
      <alignment horizontal="center" vertical="center"/>
    </xf>
    <xf numFmtId="0" fontId="29" fillId="9" borderId="5" xfId="0" applyFont="1" applyFill="1" applyBorder="1" applyAlignment="1" applyProtection="1">
      <alignment horizontal="center" vertical="center" wrapText="1"/>
    </xf>
    <xf numFmtId="0" fontId="19" fillId="9" borderId="7" xfId="0" applyFont="1" applyFill="1" applyBorder="1" applyAlignment="1" applyProtection="1">
      <alignment horizontal="center" vertical="center"/>
      <protection locked="0"/>
    </xf>
    <xf numFmtId="0" fontId="19" fillId="9" borderId="25" xfId="0" applyFont="1" applyFill="1" applyBorder="1" applyAlignment="1" applyProtection="1">
      <alignment horizontal="center" vertical="center"/>
      <protection locked="0"/>
    </xf>
    <xf numFmtId="0" fontId="19" fillId="9" borderId="9" xfId="0" applyFont="1" applyFill="1" applyBorder="1" applyAlignment="1" applyProtection="1">
      <alignment horizontal="center" vertical="center" wrapText="1"/>
    </xf>
    <xf numFmtId="0" fontId="6" fillId="9" borderId="7" xfId="0" applyFont="1" applyFill="1" applyBorder="1" applyAlignment="1" applyProtection="1">
      <alignment horizontal="center" vertical="center" wrapText="1"/>
      <protection locked="0"/>
    </xf>
    <xf numFmtId="0" fontId="19" fillId="4" borderId="4" xfId="0" applyFont="1" applyFill="1" applyBorder="1" applyAlignment="1" applyProtection="1">
      <alignment horizontal="center" vertical="center" wrapText="1"/>
      <protection locked="0"/>
    </xf>
    <xf numFmtId="0" fontId="0" fillId="0" borderId="44" xfId="0" applyFont="1" applyBorder="1" applyProtection="1">
      <protection locked="0"/>
    </xf>
    <xf numFmtId="0" fontId="0" fillId="0" borderId="39" xfId="0" applyFont="1" applyBorder="1" applyProtection="1">
      <protection locked="0"/>
    </xf>
    <xf numFmtId="0" fontId="0" fillId="0" borderId="40" xfId="0" applyBorder="1" applyProtection="1"/>
    <xf numFmtId="0" fontId="0" fillId="0" borderId="3" xfId="0" applyBorder="1" applyProtection="1"/>
    <xf numFmtId="0" fontId="0" fillId="0" borderId="34" xfId="0" applyBorder="1" applyProtection="1">
      <protection locked="0"/>
    </xf>
    <xf numFmtId="0" fontId="0" fillId="0" borderId="35" xfId="0" applyBorder="1" applyProtection="1">
      <protection locked="0"/>
    </xf>
    <xf numFmtId="0" fontId="0" fillId="0" borderId="4" xfId="0" applyBorder="1" applyProtection="1">
      <protection locked="0"/>
    </xf>
    <xf numFmtId="0" fontId="0" fillId="0" borderId="11" xfId="0" applyBorder="1" applyProtection="1">
      <protection locked="0"/>
    </xf>
    <xf numFmtId="0" fontId="0" fillId="0" borderId="10" xfId="0" applyBorder="1" applyProtection="1">
      <protection locked="0"/>
    </xf>
    <xf numFmtId="0" fontId="0" fillId="0" borderId="13" xfId="0" applyBorder="1" applyProtection="1">
      <protection locked="0"/>
    </xf>
    <xf numFmtId="0" fontId="25" fillId="0" borderId="9" xfId="0" applyFont="1" applyBorder="1" applyProtection="1">
      <protection locked="0"/>
    </xf>
    <xf numFmtId="0" fontId="25" fillId="0" borderId="4" xfId="0" applyFont="1" applyBorder="1" applyAlignment="1" applyProtection="1">
      <alignment horizontal="center" vertical="center"/>
      <protection locked="0"/>
    </xf>
    <xf numFmtId="0" fontId="25" fillId="0" borderId="11" xfId="0" applyFont="1" applyBorder="1" applyAlignment="1" applyProtection="1">
      <alignment horizontal="center" vertical="center"/>
      <protection locked="0"/>
    </xf>
    <xf numFmtId="0" fontId="25" fillId="0" borderId="10" xfId="0" applyFont="1" applyBorder="1" applyAlignment="1" applyProtection="1">
      <alignment horizontal="center" vertical="center"/>
      <protection locked="0"/>
    </xf>
    <xf numFmtId="0" fontId="25" fillId="0" borderId="13" xfId="0" applyFont="1" applyBorder="1" applyAlignment="1" applyProtection="1">
      <alignment horizontal="center" vertical="center"/>
      <protection locked="0"/>
    </xf>
    <xf numFmtId="0" fontId="22" fillId="3" borderId="0" xfId="0" applyFont="1" applyFill="1" applyBorder="1" applyAlignment="1" applyProtection="1">
      <alignment vertical="center"/>
      <protection locked="0"/>
    </xf>
    <xf numFmtId="0" fontId="15" fillId="0" borderId="0" xfId="0" applyFont="1" applyAlignment="1" applyProtection="1">
      <alignment vertical="top"/>
      <protection locked="0"/>
    </xf>
    <xf numFmtId="0" fontId="25" fillId="0" borderId="0" xfId="0" applyFont="1" applyBorder="1" applyAlignment="1" applyProtection="1">
      <protection locked="0"/>
    </xf>
    <xf numFmtId="0" fontId="0" fillId="0" borderId="9" xfId="0" applyFont="1" applyBorder="1" applyProtection="1">
      <protection locked="0"/>
    </xf>
    <xf numFmtId="0" fontId="0" fillId="0" borderId="3" xfId="0" applyFont="1" applyBorder="1" applyProtection="1">
      <protection locked="0"/>
    </xf>
    <xf numFmtId="0" fontId="0" fillId="0" borderId="1" xfId="0" applyFont="1" applyBorder="1" applyProtection="1">
      <protection locked="0"/>
    </xf>
    <xf numFmtId="0" fontId="0" fillId="0" borderId="27" xfId="0" applyFont="1" applyBorder="1" applyProtection="1">
      <protection locked="0"/>
    </xf>
    <xf numFmtId="0" fontId="0" fillId="0" borderId="10" xfId="0" applyFont="1" applyBorder="1" applyProtection="1">
      <protection locked="0"/>
    </xf>
    <xf numFmtId="0" fontId="0" fillId="0" borderId="28" xfId="0" applyFont="1" applyBorder="1" applyProtection="1">
      <protection locked="0"/>
    </xf>
    <xf numFmtId="0" fontId="0" fillId="0" borderId="13" xfId="0" applyFont="1" applyBorder="1" applyProtection="1">
      <protection locked="0"/>
    </xf>
    <xf numFmtId="0" fontId="24" fillId="3" borderId="0" xfId="0" applyFont="1" applyFill="1" applyBorder="1" applyAlignment="1" applyProtection="1">
      <alignment vertical="center"/>
      <protection locked="0"/>
    </xf>
    <xf numFmtId="0" fontId="15" fillId="0" borderId="0" xfId="0" applyFont="1" applyAlignment="1" applyProtection="1">
      <alignment horizontal="center" vertical="center"/>
      <protection locked="0"/>
    </xf>
    <xf numFmtId="0" fontId="15" fillId="0" borderId="0" xfId="0" applyFont="1" applyFill="1" applyBorder="1" applyAlignment="1" applyProtection="1">
      <alignment vertical="top"/>
      <protection locked="0"/>
    </xf>
    <xf numFmtId="0" fontId="26" fillId="0" borderId="0" xfId="0" applyFont="1" applyFill="1" applyBorder="1" applyAlignment="1" applyProtection="1">
      <alignment horizontal="center" vertical="top"/>
      <protection locked="0"/>
    </xf>
    <xf numFmtId="0" fontId="27" fillId="0" borderId="0" xfId="0" applyFont="1" applyFill="1" applyBorder="1" applyAlignment="1" applyProtection="1">
      <alignment vertical="center"/>
      <protection locked="0"/>
    </xf>
    <xf numFmtId="0" fontId="27" fillId="0" borderId="0" xfId="0" applyFont="1" applyFill="1" applyBorder="1" applyAlignment="1" applyProtection="1">
      <alignment horizontal="center" vertical="center"/>
      <protection locked="0"/>
    </xf>
    <xf numFmtId="0" fontId="25" fillId="0" borderId="4" xfId="0" applyFont="1" applyBorder="1" applyAlignment="1" applyProtection="1">
      <alignment horizontal="center" vertical="center"/>
    </xf>
    <xf numFmtId="0" fontId="25" fillId="0" borderId="11" xfId="0" applyFont="1" applyBorder="1" applyAlignment="1" applyProtection="1">
      <alignment horizontal="center" vertical="center"/>
    </xf>
    <xf numFmtId="0" fontId="33" fillId="0" borderId="8" xfId="0" applyFont="1" applyFill="1" applyBorder="1" applyAlignment="1" applyProtection="1">
      <alignment horizontal="center" vertical="center"/>
      <protection locked="0"/>
    </xf>
    <xf numFmtId="0" fontId="33" fillId="0" borderId="12" xfId="0" applyFont="1" applyFill="1" applyBorder="1" applyAlignment="1" applyProtection="1">
      <alignment horizontal="center" vertical="center"/>
      <protection locked="0"/>
    </xf>
    <xf numFmtId="0" fontId="33" fillId="0" borderId="7" xfId="0" applyFont="1" applyBorder="1" applyAlignment="1" applyProtection="1">
      <alignment horizontal="center" vertical="center"/>
      <protection locked="0"/>
    </xf>
    <xf numFmtId="0" fontId="33" fillId="0" borderId="7" xfId="0" applyFont="1" applyFill="1" applyBorder="1" applyAlignment="1" applyProtection="1">
      <alignment horizontal="center" vertical="center"/>
      <protection locked="0"/>
    </xf>
    <xf numFmtId="0" fontId="33" fillId="0" borderId="14" xfId="0" applyFont="1" applyFill="1" applyBorder="1" applyAlignment="1" applyProtection="1">
      <alignment horizontal="center" vertical="center"/>
      <protection locked="0"/>
    </xf>
    <xf numFmtId="0" fontId="34" fillId="0" borderId="8" xfId="0" applyFont="1" applyFill="1" applyBorder="1" applyAlignment="1" applyProtection="1">
      <alignment horizontal="center" vertical="center"/>
      <protection locked="0"/>
    </xf>
    <xf numFmtId="0" fontId="34" fillId="0" borderId="12" xfId="0" applyFont="1" applyFill="1" applyBorder="1" applyAlignment="1" applyProtection="1">
      <alignment horizontal="center" vertical="center"/>
      <protection locked="0"/>
    </xf>
    <xf numFmtId="0" fontId="34" fillId="0" borderId="5" xfId="0" applyFont="1" applyBorder="1" applyAlignment="1" applyProtection="1">
      <alignment horizontal="center" vertical="center"/>
      <protection locked="0"/>
    </xf>
    <xf numFmtId="0" fontId="34" fillId="0" borderId="7" xfId="0" applyFont="1" applyBorder="1" applyAlignment="1" applyProtection="1">
      <alignment horizontal="center" vertical="center"/>
      <protection locked="0"/>
    </xf>
    <xf numFmtId="0" fontId="34" fillId="0" borderId="26" xfId="0" applyFont="1" applyFill="1" applyBorder="1" applyAlignment="1" applyProtection="1">
      <alignment horizontal="center" vertical="center"/>
      <protection locked="0"/>
    </xf>
    <xf numFmtId="0" fontId="34" fillId="0" borderId="14" xfId="0" applyFont="1" applyFill="1" applyBorder="1" applyAlignment="1" applyProtection="1">
      <alignment horizontal="center" vertical="center"/>
      <protection locked="0"/>
    </xf>
    <xf numFmtId="0" fontId="34" fillId="0" borderId="7" xfId="0" applyFont="1" applyBorder="1" applyAlignment="1" applyProtection="1">
      <alignment horizontal="center"/>
      <protection locked="0"/>
    </xf>
    <xf numFmtId="0" fontId="34" fillId="0" borderId="14" xfId="0" applyFont="1" applyBorder="1" applyAlignment="1" applyProtection="1">
      <alignment horizontal="center"/>
      <protection locked="0"/>
    </xf>
    <xf numFmtId="0" fontId="5" fillId="4" borderId="10" xfId="0" applyFont="1" applyFill="1" applyBorder="1" applyAlignment="1" applyProtection="1">
      <alignment horizontal="center" vertical="center" wrapText="1"/>
      <protection locked="0"/>
    </xf>
    <xf numFmtId="0" fontId="4" fillId="0" borderId="7" xfId="0" applyFont="1" applyBorder="1" applyAlignment="1" applyProtection="1">
      <alignment horizontal="center" vertical="center"/>
      <protection locked="0"/>
    </xf>
    <xf numFmtId="0" fontId="4" fillId="0" borderId="14" xfId="0" applyFont="1" applyBorder="1" applyAlignment="1" applyProtection="1">
      <alignment horizontal="center" vertical="center"/>
      <protection locked="0"/>
    </xf>
    <xf numFmtId="0" fontId="4" fillId="4" borderId="10" xfId="0" applyFont="1" applyFill="1" applyBorder="1" applyAlignment="1" applyProtection="1">
      <alignment horizontal="center" vertical="center"/>
      <protection locked="0"/>
    </xf>
    <xf numFmtId="0" fontId="4" fillId="4" borderId="13" xfId="0" applyFont="1" applyFill="1" applyBorder="1" applyAlignment="1" applyProtection="1">
      <alignment horizontal="center" vertical="center"/>
      <protection locked="0"/>
    </xf>
    <xf numFmtId="0" fontId="19" fillId="9" borderId="14" xfId="0" applyFont="1" applyFill="1" applyBorder="1" applyAlignment="1" applyProtection="1">
      <alignment horizontal="center" vertical="center"/>
      <protection locked="0"/>
    </xf>
    <xf numFmtId="0" fontId="17" fillId="0" borderId="4" xfId="0" applyFont="1" applyFill="1" applyBorder="1" applyAlignment="1" applyProtection="1">
      <alignment horizontal="center" vertical="center" wrapText="1"/>
    </xf>
    <xf numFmtId="0" fontId="37" fillId="0" borderId="0" xfId="0" applyFont="1"/>
    <xf numFmtId="0" fontId="38" fillId="0" borderId="0" xfId="0" applyFont="1"/>
    <xf numFmtId="0" fontId="36" fillId="0" borderId="0" xfId="0" applyFont="1"/>
    <xf numFmtId="0" fontId="19" fillId="9" borderId="34" xfId="0" applyFont="1" applyFill="1" applyBorder="1" applyAlignment="1" applyProtection="1">
      <alignment horizontal="center" vertical="center" wrapText="1"/>
      <protection locked="0"/>
    </xf>
    <xf numFmtId="0" fontId="19" fillId="9" borderId="33" xfId="0" applyFont="1" applyFill="1" applyBorder="1" applyAlignment="1" applyProtection="1">
      <alignment horizontal="center" vertical="center" wrapText="1"/>
      <protection locked="0"/>
    </xf>
    <xf numFmtId="0" fontId="29" fillId="9" borderId="34" xfId="0" applyFont="1" applyFill="1" applyBorder="1" applyAlignment="1" applyProtection="1">
      <alignment horizontal="center" vertical="center" wrapText="1"/>
      <protection locked="0"/>
    </xf>
    <xf numFmtId="0" fontId="29" fillId="9" borderId="34" xfId="0" applyFont="1" applyFill="1" applyBorder="1" applyAlignment="1" applyProtection="1">
      <alignment horizontal="center" vertical="center"/>
      <protection locked="0"/>
    </xf>
    <xf numFmtId="0" fontId="17" fillId="0" borderId="25" xfId="0" applyFont="1" applyFill="1" applyBorder="1" applyAlignment="1" applyProtection="1">
      <alignment horizontal="center" vertical="center" wrapText="1"/>
      <protection locked="0"/>
    </xf>
    <xf numFmtId="0" fontId="13" fillId="0" borderId="24" xfId="0" applyFont="1" applyFill="1" applyBorder="1" applyAlignment="1" applyProtection="1">
      <alignment horizontal="center" vertical="center" wrapText="1"/>
      <protection locked="0"/>
    </xf>
    <xf numFmtId="0" fontId="29" fillId="0" borderId="45" xfId="0" applyFont="1" applyFill="1" applyBorder="1" applyAlignment="1" applyProtection="1">
      <alignment horizontal="center" vertical="center" wrapText="1"/>
    </xf>
    <xf numFmtId="0" fontId="19" fillId="4" borderId="24" xfId="0" applyFont="1" applyFill="1" applyBorder="1" applyAlignment="1" applyProtection="1">
      <alignment horizontal="center" vertical="center" wrapText="1"/>
      <protection locked="0"/>
    </xf>
    <xf numFmtId="0" fontId="19" fillId="9" borderId="30" xfId="0" applyFont="1" applyFill="1" applyBorder="1" applyAlignment="1" applyProtection="1">
      <alignment horizontal="center" vertical="center" wrapText="1"/>
      <protection locked="0"/>
    </xf>
    <xf numFmtId="0" fontId="15" fillId="0" borderId="46" xfId="0" applyFont="1" applyFill="1" applyBorder="1" applyAlignment="1" applyProtection="1">
      <alignment horizontal="center" vertical="center"/>
      <protection locked="0"/>
    </xf>
    <xf numFmtId="0" fontId="15" fillId="0" borderId="44" xfId="0" applyFont="1" applyBorder="1" applyAlignment="1" applyProtection="1">
      <alignment horizontal="center" vertical="center"/>
      <protection locked="0"/>
    </xf>
    <xf numFmtId="0" fontId="0" fillId="4" borderId="44" xfId="0" applyFont="1" applyFill="1" applyBorder="1" applyAlignment="1" applyProtection="1">
      <alignment horizontal="center" vertical="center"/>
      <protection locked="0"/>
    </xf>
    <xf numFmtId="0" fontId="0" fillId="0" borderId="44" xfId="0" applyFont="1" applyFill="1" applyBorder="1" applyAlignment="1" applyProtection="1">
      <alignment horizontal="center" vertical="center"/>
      <protection locked="0"/>
    </xf>
    <xf numFmtId="0" fontId="0" fillId="0" borderId="44" xfId="0" applyFont="1" applyBorder="1" applyAlignment="1" applyProtection="1">
      <alignment horizontal="center" vertical="center" wrapText="1" shrinkToFit="1"/>
      <protection locked="0"/>
    </xf>
    <xf numFmtId="0" fontId="0" fillId="10" borderId="44" xfId="0" applyFont="1" applyFill="1" applyBorder="1" applyAlignment="1" applyProtection="1">
      <alignment horizontal="center" vertical="center"/>
      <protection locked="0"/>
    </xf>
    <xf numFmtId="0" fontId="0" fillId="0" borderId="44" xfId="0" applyBorder="1" applyProtection="1">
      <protection locked="0"/>
    </xf>
    <xf numFmtId="0" fontId="0" fillId="0" borderId="39" xfId="0" applyBorder="1" applyProtection="1">
      <protection locked="0"/>
    </xf>
    <xf numFmtId="0" fontId="15" fillId="9" borderId="48" xfId="0" applyFont="1" applyFill="1" applyBorder="1" applyAlignment="1" applyProtection="1">
      <alignment horizontal="center"/>
    </xf>
    <xf numFmtId="0" fontId="0" fillId="2" borderId="48" xfId="0" applyFill="1" applyBorder="1" applyAlignment="1" applyProtection="1">
      <alignment horizontal="center"/>
    </xf>
    <xf numFmtId="0" fontId="3" fillId="4" borderId="10" xfId="0" applyFont="1" applyFill="1" applyBorder="1" applyAlignment="1" applyProtection="1">
      <alignment horizontal="center" vertical="center" wrapText="1"/>
      <protection locked="0"/>
    </xf>
    <xf numFmtId="0" fontId="0" fillId="0" borderId="47" xfId="0" applyBorder="1" applyProtection="1">
      <protection locked="0"/>
    </xf>
    <xf numFmtId="0" fontId="15" fillId="2" borderId="4" xfId="0" applyFont="1" applyFill="1" applyBorder="1" applyAlignment="1" applyProtection="1">
      <alignment horizontal="center" vertical="center" wrapText="1"/>
    </xf>
    <xf numFmtId="0" fontId="0" fillId="0" borderId="46" xfId="0" applyFont="1" applyBorder="1" applyAlignment="1" applyProtection="1">
      <alignment horizontal="center" vertical="center"/>
      <protection locked="0"/>
    </xf>
    <xf numFmtId="49" fontId="0" fillId="0" borderId="44" xfId="0" applyNumberFormat="1" applyFont="1" applyBorder="1" applyAlignment="1" applyProtection="1">
      <alignment horizontal="center" vertical="center"/>
      <protection locked="0"/>
    </xf>
    <xf numFmtId="0" fontId="0" fillId="0" borderId="44" xfId="0" applyFont="1" applyBorder="1" applyAlignment="1" applyProtection="1">
      <alignment horizontal="center" vertical="center"/>
      <protection locked="0"/>
    </xf>
    <xf numFmtId="0" fontId="0" fillId="0" borderId="44" xfId="0" applyFont="1" applyBorder="1" applyAlignment="1" applyProtection="1">
      <alignment horizontal="center" vertical="center" wrapText="1"/>
      <protection locked="0"/>
    </xf>
    <xf numFmtId="0" fontId="0" fillId="0" borderId="47" xfId="0" applyBorder="1" applyProtection="1"/>
    <xf numFmtId="0" fontId="0" fillId="0" borderId="27" xfId="0" applyBorder="1" applyProtection="1"/>
    <xf numFmtId="0" fontId="0" fillId="0" borderId="0" xfId="0" applyBorder="1" applyProtection="1"/>
    <xf numFmtId="0" fontId="2" fillId="4" borderId="10" xfId="0" applyFont="1" applyFill="1" applyBorder="1" applyAlignment="1" applyProtection="1">
      <alignment horizontal="center" vertical="center"/>
      <protection locked="0"/>
    </xf>
    <xf numFmtId="0" fontId="39" fillId="0" borderId="0" xfId="0" applyFont="1"/>
    <xf numFmtId="0" fontId="15" fillId="9" borderId="48" xfId="0" applyFont="1" applyFill="1" applyBorder="1" applyAlignment="1" applyProtection="1">
      <alignment horizontal="center" vertical="center" wrapText="1"/>
    </xf>
    <xf numFmtId="0" fontId="0" fillId="2" borderId="48" xfId="0" applyFont="1" applyFill="1" applyBorder="1" applyAlignment="1" applyProtection="1">
      <alignment horizontal="center" vertical="center" wrapText="1"/>
    </xf>
    <xf numFmtId="0" fontId="0" fillId="0" borderId="6" xfId="0" applyBorder="1" applyAlignment="1" applyProtection="1">
      <alignment horizontal="center"/>
      <protection locked="0"/>
    </xf>
    <xf numFmtId="0" fontId="0" fillId="0" borderId="6" xfId="0" applyBorder="1" applyAlignment="1" applyProtection="1">
      <alignment horizontal="center" vertical="center"/>
      <protection locked="0"/>
    </xf>
    <xf numFmtId="0" fontId="0" fillId="2" borderId="48" xfId="0" applyFont="1" applyFill="1" applyBorder="1" applyAlignment="1" applyProtection="1">
      <alignment horizontal="center"/>
    </xf>
    <xf numFmtId="0" fontId="15" fillId="9" borderId="6" xfId="0" applyFont="1" applyFill="1" applyBorder="1" applyAlignment="1" applyProtection="1">
      <alignment horizontal="center"/>
      <protection locked="0"/>
    </xf>
    <xf numFmtId="0" fontId="0" fillId="9" borderId="48" xfId="0" applyFill="1" applyBorder="1" applyAlignment="1" applyProtection="1">
      <alignment horizontal="center"/>
    </xf>
    <xf numFmtId="0" fontId="0" fillId="0" borderId="21" xfId="0" applyFont="1" applyBorder="1" applyProtection="1">
      <protection locked="0"/>
    </xf>
    <xf numFmtId="0" fontId="0" fillId="0" borderId="6" xfId="0" applyFont="1" applyBorder="1" applyProtection="1">
      <protection locked="0"/>
    </xf>
    <xf numFmtId="0" fontId="0" fillId="2" borderId="53" xfId="0" applyFill="1" applyBorder="1" applyAlignment="1" applyProtection="1">
      <alignment horizontal="center"/>
    </xf>
    <xf numFmtId="0" fontId="16" fillId="8" borderId="17" xfId="0" applyFont="1" applyFill="1" applyBorder="1" applyAlignment="1" applyProtection="1">
      <alignment horizontal="center" vertical="center"/>
      <protection locked="0"/>
    </xf>
    <xf numFmtId="0" fontId="0" fillId="0" borderId="54" xfId="0" applyFont="1" applyBorder="1" applyAlignment="1" applyProtection="1">
      <alignment horizontal="center" vertical="center"/>
      <protection locked="0"/>
    </xf>
    <xf numFmtId="0" fontId="0" fillId="2" borderId="48" xfId="0" applyFill="1" applyBorder="1" applyAlignment="1" applyProtection="1">
      <alignment horizontal="center" vertical="center"/>
    </xf>
    <xf numFmtId="0" fontId="15" fillId="0" borderId="4" xfId="0" applyFont="1" applyBorder="1" applyAlignment="1" applyProtection="1">
      <alignment horizontal="center" vertical="center"/>
      <protection locked="0"/>
    </xf>
    <xf numFmtId="0" fontId="9" fillId="9" borderId="7" xfId="0" applyFont="1" applyFill="1" applyBorder="1" applyAlignment="1" applyProtection="1">
      <alignment horizontal="center" vertical="center" wrapText="1"/>
      <protection locked="0"/>
    </xf>
    <xf numFmtId="0" fontId="23" fillId="2" borderId="29" xfId="0" applyFont="1" applyFill="1" applyBorder="1" applyAlignment="1" applyProtection="1">
      <alignment horizontal="center" vertical="center"/>
      <protection locked="0"/>
    </xf>
    <xf numFmtId="0" fontId="23" fillId="2" borderId="30" xfId="0" applyFont="1" applyFill="1" applyBorder="1" applyAlignment="1" applyProtection="1">
      <alignment horizontal="center" vertical="center"/>
      <protection locked="0"/>
    </xf>
    <xf numFmtId="0" fontId="0" fillId="9" borderId="33" xfId="0" applyFont="1" applyFill="1" applyBorder="1" applyAlignment="1" applyProtection="1">
      <alignment horizontal="center" vertical="center"/>
    </xf>
    <xf numFmtId="0" fontId="0" fillId="9" borderId="35" xfId="0" applyFont="1" applyFill="1" applyBorder="1" applyAlignment="1" applyProtection="1">
      <alignment horizontal="center" vertical="center"/>
    </xf>
    <xf numFmtId="0" fontId="0" fillId="9" borderId="34" xfId="0" applyFont="1" applyFill="1" applyBorder="1" applyAlignment="1" applyProtection="1">
      <alignment horizontal="center" vertical="center"/>
    </xf>
    <xf numFmtId="0" fontId="0" fillId="9" borderId="33" xfId="0" applyFont="1" applyFill="1" applyBorder="1" applyAlignment="1" applyProtection="1">
      <alignment horizontal="center" vertical="center" wrapText="1"/>
    </xf>
    <xf numFmtId="0" fontId="0" fillId="9" borderId="34" xfId="0" applyFont="1" applyFill="1" applyBorder="1" applyAlignment="1" applyProtection="1">
      <alignment horizontal="center" vertical="center" wrapText="1"/>
    </xf>
    <xf numFmtId="0" fontId="0" fillId="9" borderId="35" xfId="0" applyFont="1" applyFill="1" applyBorder="1" applyAlignment="1" applyProtection="1">
      <alignment horizontal="center" vertical="center" wrapText="1"/>
    </xf>
    <xf numFmtId="0" fontId="16" fillId="2" borderId="38" xfId="0" applyFont="1" applyFill="1" applyBorder="1" applyAlignment="1" applyProtection="1">
      <alignment horizontal="center" vertical="center" wrapText="1"/>
    </xf>
    <xf numFmtId="0" fontId="16" fillId="2" borderId="5" xfId="0" applyFont="1" applyFill="1" applyBorder="1" applyAlignment="1" applyProtection="1">
      <alignment horizontal="center" vertical="center" wrapText="1"/>
    </xf>
    <xf numFmtId="0" fontId="16" fillId="2" borderId="26" xfId="0" applyFont="1" applyFill="1" applyBorder="1" applyAlignment="1" applyProtection="1">
      <alignment horizontal="center" vertical="center" wrapText="1"/>
    </xf>
    <xf numFmtId="0" fontId="16" fillId="2" borderId="25" xfId="0" applyFont="1" applyFill="1" applyBorder="1" applyAlignment="1" applyProtection="1">
      <alignment horizontal="center" vertical="center" wrapText="1"/>
    </xf>
    <xf numFmtId="0" fontId="15" fillId="4" borderId="31" xfId="0" applyFont="1" applyFill="1" applyBorder="1" applyAlignment="1" applyProtection="1">
      <alignment horizontal="center" vertical="center" wrapText="1"/>
      <protection locked="0"/>
    </xf>
    <xf numFmtId="0" fontId="15" fillId="4" borderId="27" xfId="0" applyFont="1" applyFill="1" applyBorder="1" applyAlignment="1" applyProtection="1">
      <alignment horizontal="center" vertical="center" wrapText="1"/>
      <protection locked="0"/>
    </xf>
    <xf numFmtId="0" fontId="15" fillId="4" borderId="28" xfId="0" applyFont="1" applyFill="1" applyBorder="1" applyAlignment="1" applyProtection="1">
      <alignment horizontal="center" vertical="center" wrapText="1"/>
      <protection locked="0"/>
    </xf>
    <xf numFmtId="0" fontId="15" fillId="4" borderId="24" xfId="0" applyFont="1" applyFill="1" applyBorder="1" applyAlignment="1" applyProtection="1">
      <alignment horizontal="center" vertical="center" wrapText="1"/>
      <protection locked="0"/>
    </xf>
    <xf numFmtId="0" fontId="23" fillId="2" borderId="38" xfId="0" applyFont="1" applyFill="1" applyBorder="1" applyAlignment="1" applyProtection="1">
      <alignment horizontal="center" vertical="center"/>
    </xf>
    <xf numFmtId="0" fontId="23" fillId="2" borderId="25" xfId="0" applyFont="1" applyFill="1" applyBorder="1" applyAlignment="1" applyProtection="1">
      <alignment horizontal="center" vertical="center"/>
    </xf>
    <xf numFmtId="0" fontId="0" fillId="4" borderId="31" xfId="0" applyFont="1" applyFill="1" applyBorder="1" applyAlignment="1" applyProtection="1">
      <alignment horizontal="center" vertical="center"/>
      <protection locked="0"/>
    </xf>
    <xf numFmtId="0" fontId="0" fillId="4" borderId="24" xfId="0" applyFont="1" applyFill="1" applyBorder="1" applyAlignment="1" applyProtection="1">
      <alignment horizontal="center" vertical="center"/>
      <protection locked="0"/>
    </xf>
    <xf numFmtId="0" fontId="0" fillId="0" borderId="44" xfId="0" applyFont="1" applyBorder="1" applyAlignment="1" applyProtection="1">
      <alignment horizontal="center" vertical="center" wrapText="1"/>
      <protection locked="0"/>
    </xf>
    <xf numFmtId="0" fontId="0" fillId="0" borderId="6" xfId="0" applyFont="1" applyBorder="1" applyAlignment="1" applyProtection="1">
      <alignment horizontal="center" vertical="center" wrapText="1"/>
      <protection locked="0"/>
    </xf>
    <xf numFmtId="0" fontId="0" fillId="0" borderId="22" xfId="0" applyFont="1" applyBorder="1" applyAlignment="1" applyProtection="1">
      <alignment horizontal="center" vertical="center" wrapText="1"/>
      <protection locked="0"/>
    </xf>
    <xf numFmtId="0" fontId="16" fillId="9" borderId="15" xfId="0" applyFont="1" applyFill="1" applyBorder="1" applyAlignment="1" applyProtection="1">
      <alignment horizontal="center" vertical="center"/>
    </xf>
    <xf numFmtId="0" fontId="16" fillId="9" borderId="16" xfId="0" applyFont="1" applyFill="1" applyBorder="1" applyAlignment="1" applyProtection="1">
      <alignment horizontal="center" vertical="center"/>
    </xf>
    <xf numFmtId="0" fontId="16" fillId="9" borderId="17" xfId="0" applyFont="1" applyFill="1" applyBorder="1" applyAlignment="1" applyProtection="1">
      <alignment horizontal="center" vertical="center"/>
    </xf>
    <xf numFmtId="0" fontId="16" fillId="2" borderId="38" xfId="0" applyFont="1" applyFill="1" applyBorder="1" applyAlignment="1" applyProtection="1">
      <alignment horizontal="center" vertical="center"/>
    </xf>
    <xf numFmtId="0" fontId="16" fillId="2" borderId="37" xfId="0" applyFont="1" applyFill="1" applyBorder="1" applyAlignment="1" applyProtection="1">
      <alignment horizontal="center" vertical="center"/>
    </xf>
    <xf numFmtId="0" fontId="16" fillId="2" borderId="25" xfId="0" applyFont="1" applyFill="1" applyBorder="1" applyAlignment="1" applyProtection="1">
      <alignment horizontal="center" vertical="center"/>
    </xf>
    <xf numFmtId="0" fontId="0" fillId="4" borderId="31" xfId="0" applyFont="1" applyFill="1" applyBorder="1" applyAlignment="1" applyProtection="1">
      <alignment horizontal="left" vertical="center" wrapText="1"/>
      <protection locked="0"/>
    </xf>
    <xf numFmtId="0" fontId="0" fillId="4" borderId="32" xfId="0" applyFont="1" applyFill="1" applyBorder="1" applyAlignment="1" applyProtection="1">
      <alignment horizontal="left" vertical="center" wrapText="1"/>
      <protection locked="0"/>
    </xf>
    <xf numFmtId="0" fontId="0" fillId="4" borderId="24" xfId="0" applyFont="1" applyFill="1" applyBorder="1" applyAlignment="1" applyProtection="1">
      <alignment horizontal="left" vertical="center" wrapText="1"/>
      <protection locked="0"/>
    </xf>
    <xf numFmtId="0" fontId="18" fillId="2" borderId="8" xfId="0" applyFont="1" applyFill="1" applyBorder="1" applyAlignment="1" applyProtection="1">
      <alignment horizontal="center" vertical="center" wrapText="1"/>
      <protection locked="0"/>
    </xf>
    <xf numFmtId="0" fontId="18" fillId="2" borderId="4" xfId="0" applyFont="1" applyFill="1" applyBorder="1" applyAlignment="1" applyProtection="1">
      <alignment horizontal="center" vertical="center" wrapText="1"/>
      <protection locked="0"/>
    </xf>
    <xf numFmtId="0" fontId="15" fillId="2" borderId="4" xfId="0" applyFont="1" applyFill="1" applyBorder="1" applyAlignment="1" applyProtection="1">
      <alignment horizontal="center" vertical="center" wrapText="1"/>
      <protection locked="0"/>
    </xf>
    <xf numFmtId="0" fontId="15" fillId="2" borderId="11" xfId="0" applyFont="1" applyFill="1" applyBorder="1" applyAlignment="1" applyProtection="1">
      <alignment horizontal="center" vertical="center" wrapText="1"/>
      <protection locked="0"/>
    </xf>
    <xf numFmtId="0" fontId="23" fillId="2" borderId="8" xfId="0" applyFont="1" applyFill="1" applyBorder="1" applyAlignment="1" applyProtection="1">
      <alignment horizontal="center" vertical="center"/>
    </xf>
    <xf numFmtId="0" fontId="23" fillId="2" borderId="4" xfId="0" applyFont="1" applyFill="1" applyBorder="1" applyAlignment="1" applyProtection="1">
      <alignment horizontal="center" vertical="center"/>
    </xf>
    <xf numFmtId="0" fontId="23" fillId="2" borderId="11" xfId="0" applyFont="1" applyFill="1" applyBorder="1" applyAlignment="1" applyProtection="1">
      <alignment horizontal="center" vertical="center"/>
    </xf>
    <xf numFmtId="0" fontId="0" fillId="0" borderId="4" xfId="0" applyFont="1" applyBorder="1" applyAlignment="1" applyProtection="1">
      <alignment horizontal="center" vertical="center" wrapText="1"/>
      <protection locked="0"/>
    </xf>
    <xf numFmtId="0" fontId="0" fillId="0" borderId="10" xfId="0" applyFont="1" applyBorder="1" applyAlignment="1" applyProtection="1">
      <alignment horizontal="center" vertical="center" wrapText="1"/>
      <protection locked="0"/>
    </xf>
    <xf numFmtId="49" fontId="18" fillId="2" borderId="36" xfId="0" applyNumberFormat="1" applyFont="1" applyFill="1" applyBorder="1" applyAlignment="1" applyProtection="1">
      <alignment horizontal="center" vertical="center" wrapText="1"/>
      <protection locked="0"/>
    </xf>
    <xf numFmtId="49" fontId="18" fillId="2" borderId="3" xfId="0" applyNumberFormat="1" applyFont="1" applyFill="1" applyBorder="1" applyAlignment="1" applyProtection="1">
      <alignment horizontal="center" vertical="center" wrapText="1"/>
      <protection locked="0"/>
    </xf>
    <xf numFmtId="0" fontId="23" fillId="2" borderId="33" xfId="0" applyFont="1" applyFill="1" applyBorder="1" applyAlignment="1" applyProtection="1">
      <alignment horizontal="center" vertical="center"/>
    </xf>
    <xf numFmtId="0" fontId="23" fillId="2" borderId="34" xfId="0" applyFont="1" applyFill="1" applyBorder="1" applyAlignment="1" applyProtection="1">
      <alignment horizontal="center" vertical="center"/>
    </xf>
    <xf numFmtId="0" fontId="23" fillId="2" borderId="35" xfId="0" applyFont="1" applyFill="1" applyBorder="1" applyAlignment="1" applyProtection="1">
      <alignment horizontal="center" vertical="center"/>
    </xf>
    <xf numFmtId="0" fontId="0" fillId="0" borderId="49" xfId="0" applyFont="1" applyBorder="1" applyAlignment="1" applyProtection="1">
      <alignment horizontal="center" vertical="center" wrapText="1"/>
      <protection locked="0"/>
    </xf>
    <xf numFmtId="0" fontId="0" fillId="0" borderId="50" xfId="0" applyFont="1" applyBorder="1" applyAlignment="1" applyProtection="1">
      <alignment horizontal="center" vertical="center" wrapText="1"/>
      <protection locked="0"/>
    </xf>
    <xf numFmtId="0" fontId="0" fillId="0" borderId="51" xfId="0" applyFont="1" applyBorder="1" applyAlignment="1" applyProtection="1">
      <alignment horizontal="center" vertical="center" wrapText="1"/>
      <protection locked="0"/>
    </xf>
    <xf numFmtId="0" fontId="0" fillId="0" borderId="48" xfId="0" applyFont="1" applyBorder="1" applyAlignment="1" applyProtection="1">
      <alignment horizontal="center" vertical="center" wrapText="1"/>
      <protection locked="0"/>
    </xf>
    <xf numFmtId="0" fontId="0" fillId="0" borderId="52" xfId="0" applyFont="1" applyBorder="1" applyAlignment="1" applyProtection="1">
      <alignment horizontal="center" vertical="center" wrapText="1"/>
      <protection locked="0"/>
    </xf>
    <xf numFmtId="0" fontId="0" fillId="0" borderId="53" xfId="0" applyFont="1" applyBorder="1" applyAlignment="1" applyProtection="1">
      <alignment horizontal="center" vertical="center" wrapText="1"/>
      <protection locked="0"/>
    </xf>
    <xf numFmtId="0" fontId="0" fillId="0" borderId="11" xfId="0" applyFont="1" applyBorder="1" applyAlignment="1" applyProtection="1">
      <alignment horizontal="center" vertical="center" wrapText="1"/>
      <protection locked="0"/>
    </xf>
    <xf numFmtId="0" fontId="0" fillId="0" borderId="13" xfId="0" applyFont="1" applyBorder="1" applyAlignment="1" applyProtection="1">
      <alignment horizontal="center" vertical="center" wrapText="1"/>
      <protection locked="0"/>
    </xf>
    <xf numFmtId="0" fontId="22" fillId="2" borderId="18" xfId="0" applyFont="1" applyFill="1" applyBorder="1" applyAlignment="1" applyProtection="1">
      <alignment horizontal="center" vertical="center"/>
      <protection locked="0"/>
    </xf>
    <xf numFmtId="0" fontId="22" fillId="2" borderId="19" xfId="0" applyFont="1" applyFill="1" applyBorder="1" applyAlignment="1" applyProtection="1">
      <alignment horizontal="center" vertical="center"/>
      <protection locked="0"/>
    </xf>
    <xf numFmtId="0" fontId="22" fillId="2" borderId="20" xfId="0" applyFont="1" applyFill="1" applyBorder="1" applyAlignment="1" applyProtection="1">
      <alignment horizontal="center" vertical="center"/>
      <protection locked="0"/>
    </xf>
    <xf numFmtId="0" fontId="16" fillId="9" borderId="41" xfId="0" applyFont="1" applyFill="1" applyBorder="1" applyAlignment="1" applyProtection="1">
      <alignment horizontal="center" vertical="top" wrapText="1"/>
      <protection locked="0"/>
    </xf>
    <xf numFmtId="0" fontId="16" fillId="9" borderId="42" xfId="0" applyFont="1" applyFill="1" applyBorder="1" applyAlignment="1" applyProtection="1">
      <alignment horizontal="center" vertical="top" wrapText="1"/>
      <protection locked="0"/>
    </xf>
    <xf numFmtId="0" fontId="16" fillId="9" borderId="43" xfId="0" applyFont="1" applyFill="1" applyBorder="1" applyAlignment="1" applyProtection="1">
      <alignment horizontal="center" vertical="top" wrapText="1"/>
      <protection locked="0"/>
    </xf>
    <xf numFmtId="0" fontId="15" fillId="0" borderId="4" xfId="0" applyFont="1" applyBorder="1" applyAlignment="1" applyProtection="1">
      <alignment horizontal="center" vertical="center"/>
      <protection locked="0"/>
    </xf>
    <xf numFmtId="0" fontId="22" fillId="2" borderId="4" xfId="0" applyFont="1" applyFill="1" applyBorder="1" applyAlignment="1" applyProtection="1">
      <alignment horizontal="center" vertical="center"/>
      <protection locked="0"/>
    </xf>
    <xf numFmtId="0" fontId="9" fillId="9" borderId="7" xfId="0" applyFont="1" applyFill="1" applyBorder="1" applyAlignment="1" applyProtection="1">
      <alignment horizontal="center" vertical="center" wrapText="1"/>
      <protection locked="0"/>
    </xf>
    <xf numFmtId="0" fontId="12" fillId="9" borderId="7" xfId="0" applyFont="1" applyFill="1" applyBorder="1" applyAlignment="1" applyProtection="1">
      <alignment horizontal="center" vertical="center" wrapText="1"/>
      <protection locked="0"/>
    </xf>
    <xf numFmtId="0" fontId="0" fillId="9" borderId="8" xfId="0" applyFont="1" applyFill="1" applyBorder="1" applyAlignment="1" applyProtection="1">
      <alignment horizontal="center" vertical="center" wrapText="1"/>
      <protection locked="0"/>
    </xf>
    <xf numFmtId="0" fontId="0" fillId="9" borderId="4" xfId="0" applyFont="1" applyFill="1" applyBorder="1" applyAlignment="1" applyProtection="1">
      <alignment horizontal="center" vertical="center" wrapText="1"/>
      <protection locked="0"/>
    </xf>
    <xf numFmtId="0" fontId="0" fillId="9" borderId="11" xfId="0" applyFont="1" applyFill="1" applyBorder="1" applyAlignment="1" applyProtection="1">
      <alignment horizontal="center" vertical="center" wrapText="1"/>
      <protection locked="0"/>
    </xf>
    <xf numFmtId="0" fontId="0" fillId="9" borderId="12" xfId="0" applyFont="1" applyFill="1" applyBorder="1" applyAlignment="1" applyProtection="1">
      <alignment horizontal="center" vertical="center" wrapText="1"/>
      <protection locked="0"/>
    </xf>
    <xf numFmtId="0" fontId="0" fillId="9" borderId="10" xfId="0" applyFont="1" applyFill="1" applyBorder="1" applyAlignment="1" applyProtection="1">
      <alignment horizontal="center" vertical="center" wrapText="1"/>
      <protection locked="0"/>
    </xf>
    <xf numFmtId="0" fontId="0" fillId="9" borderId="13" xfId="0" applyFont="1" applyFill="1" applyBorder="1" applyAlignment="1" applyProtection="1">
      <alignment horizontal="center" vertical="center" wrapText="1"/>
      <protection locked="0"/>
    </xf>
    <xf numFmtId="0" fontId="16" fillId="2" borderId="33" xfId="0" applyFont="1" applyFill="1" applyBorder="1" applyAlignment="1" applyProtection="1">
      <alignment horizontal="center"/>
      <protection locked="0"/>
    </xf>
    <xf numFmtId="0" fontId="16" fillId="2" borderId="34" xfId="0" applyFont="1" applyFill="1" applyBorder="1" applyAlignment="1" applyProtection="1">
      <alignment horizontal="center"/>
      <protection locked="0"/>
    </xf>
    <xf numFmtId="0" fontId="16" fillId="2" borderId="35" xfId="0" applyFont="1" applyFill="1" applyBorder="1" applyAlignment="1" applyProtection="1">
      <alignment horizontal="center"/>
      <protection locked="0"/>
    </xf>
    <xf numFmtId="0" fontId="15" fillId="9" borderId="26" xfId="0" applyFont="1" applyFill="1" applyBorder="1" applyAlignment="1" applyProtection="1">
      <alignment horizontal="center" vertical="center" wrapText="1"/>
      <protection locked="0"/>
    </xf>
    <xf numFmtId="0" fontId="15" fillId="9" borderId="37" xfId="0" applyFont="1" applyFill="1" applyBorder="1" applyAlignment="1" applyProtection="1">
      <alignment horizontal="center" vertical="center" wrapText="1"/>
      <protection locked="0"/>
    </xf>
    <xf numFmtId="0" fontId="15" fillId="9" borderId="25" xfId="0" applyFont="1" applyFill="1" applyBorder="1" applyAlignment="1" applyProtection="1">
      <alignment horizontal="center" vertical="center" wrapText="1"/>
      <protection locked="0"/>
    </xf>
    <xf numFmtId="0" fontId="23" fillId="2" borderId="15" xfId="0" applyFont="1" applyFill="1" applyBorder="1" applyAlignment="1" applyProtection="1">
      <alignment horizontal="center" vertical="center"/>
      <protection locked="0"/>
    </xf>
    <xf numFmtId="0" fontId="23" fillId="2" borderId="16" xfId="0" applyFont="1" applyFill="1" applyBorder="1" applyAlignment="1" applyProtection="1">
      <alignment horizontal="center" vertical="center"/>
      <protection locked="0"/>
    </xf>
    <xf numFmtId="0" fontId="23" fillId="2" borderId="17" xfId="0" applyFont="1" applyFill="1" applyBorder="1" applyAlignment="1" applyProtection="1">
      <alignment horizontal="center" vertical="center"/>
      <protection locked="0"/>
    </xf>
    <xf numFmtId="0" fontId="16" fillId="2" borderId="33" xfId="0" applyFont="1" applyFill="1" applyBorder="1" applyAlignment="1" applyProtection="1">
      <alignment horizontal="center"/>
    </xf>
    <xf numFmtId="0" fontId="16" fillId="2" borderId="34" xfId="0" applyFont="1" applyFill="1" applyBorder="1" applyAlignment="1" applyProtection="1">
      <alignment horizontal="center"/>
    </xf>
    <xf numFmtId="0" fontId="16" fillId="2" borderId="35" xfId="0" applyFont="1" applyFill="1" applyBorder="1" applyAlignment="1" applyProtection="1">
      <alignment horizontal="center"/>
    </xf>
    <xf numFmtId="0" fontId="0" fillId="9" borderId="8" xfId="0" applyFont="1" applyFill="1" applyBorder="1" applyAlignment="1" applyProtection="1">
      <alignment horizontal="center" vertical="center" wrapText="1"/>
    </xf>
    <xf numFmtId="0" fontId="0" fillId="9" borderId="4" xfId="0" applyFont="1" applyFill="1" applyBorder="1" applyAlignment="1" applyProtection="1">
      <alignment horizontal="center" vertical="center" wrapText="1"/>
    </xf>
    <xf numFmtId="0" fontId="0" fillId="9" borderId="11" xfId="0" applyFont="1" applyFill="1" applyBorder="1" applyAlignment="1" applyProtection="1">
      <alignment horizontal="center" vertical="center" wrapText="1"/>
    </xf>
    <xf numFmtId="0" fontId="0" fillId="9" borderId="12" xfId="0" applyFont="1" applyFill="1" applyBorder="1" applyAlignment="1" applyProtection="1">
      <alignment horizontal="center" vertical="center" wrapText="1"/>
    </xf>
    <xf numFmtId="0" fontId="0" fillId="9" borderId="10" xfId="0" applyFont="1" applyFill="1" applyBorder="1" applyAlignment="1" applyProtection="1">
      <alignment horizontal="center" vertical="center" wrapText="1"/>
    </xf>
    <xf numFmtId="0" fontId="0" fillId="9" borderId="13"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xf>
    <xf numFmtId="0" fontId="23" fillId="2" borderId="16" xfId="0" applyFont="1" applyFill="1" applyBorder="1" applyAlignment="1" applyProtection="1">
      <alignment horizontal="center" vertical="center"/>
    </xf>
    <xf numFmtId="0" fontId="23" fillId="2" borderId="17" xfId="0" applyFont="1" applyFill="1" applyBorder="1" applyAlignment="1" applyProtection="1">
      <alignment horizontal="center" vertical="center"/>
    </xf>
    <xf numFmtId="0" fontId="16" fillId="9" borderId="15"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19" fillId="4" borderId="4" xfId="0" applyFont="1" applyFill="1" applyBorder="1" applyAlignment="1" applyProtection="1">
      <alignment horizontal="center" vertical="center" wrapText="1"/>
      <protection locked="0"/>
    </xf>
    <xf numFmtId="0" fontId="19" fillId="4" borderId="1" xfId="0" applyFont="1" applyFill="1" applyBorder="1" applyAlignment="1" applyProtection="1">
      <alignment horizontal="center" vertical="center" wrapText="1"/>
      <protection locked="0"/>
    </xf>
    <xf numFmtId="0" fontId="19" fillId="4" borderId="2" xfId="0" applyFont="1" applyFill="1" applyBorder="1" applyAlignment="1" applyProtection="1">
      <alignment horizontal="center" vertical="center" wrapText="1"/>
      <protection locked="0"/>
    </xf>
    <xf numFmtId="0" fontId="19" fillId="4" borderId="3" xfId="0" applyFont="1" applyFill="1" applyBorder="1" applyAlignment="1" applyProtection="1">
      <alignment horizontal="center" vertical="center" wrapText="1"/>
      <protection locked="0"/>
    </xf>
    <xf numFmtId="0" fontId="23" fillId="2" borderId="4" xfId="0" applyFont="1" applyFill="1" applyBorder="1" applyAlignment="1" applyProtection="1">
      <alignment horizontal="center"/>
    </xf>
    <xf numFmtId="0" fontId="18" fillId="6" borderId="4" xfId="0" applyFont="1" applyFill="1" applyBorder="1" applyAlignment="1" applyProtection="1">
      <alignment horizontal="center" vertical="center"/>
    </xf>
    <xf numFmtId="0" fontId="29" fillId="7" borderId="4" xfId="0" applyFont="1" applyFill="1" applyBorder="1" applyAlignment="1" applyProtection="1">
      <alignment horizontal="center" vertical="center"/>
    </xf>
    <xf numFmtId="0" fontId="19" fillId="9" borderId="4" xfId="0" applyFont="1" applyFill="1" applyBorder="1" applyAlignment="1" applyProtection="1">
      <alignment horizontal="center" vertical="center" wrapText="1"/>
    </xf>
    <xf numFmtId="0" fontId="29" fillId="7" borderId="1" xfId="0" applyFont="1" applyFill="1" applyBorder="1" applyAlignment="1" applyProtection="1">
      <alignment horizontal="center" vertical="center"/>
    </xf>
    <xf numFmtId="0" fontId="29" fillId="7" borderId="2" xfId="0" applyFont="1" applyFill="1" applyBorder="1" applyAlignment="1" applyProtection="1">
      <alignment horizontal="center" vertical="center"/>
    </xf>
    <xf numFmtId="0" fontId="29" fillId="7" borderId="3" xfId="0" applyFont="1" applyFill="1" applyBorder="1" applyAlignment="1" applyProtection="1">
      <alignment horizontal="center" vertical="center"/>
    </xf>
    <xf numFmtId="0" fontId="15" fillId="6" borderId="4" xfId="0" applyFont="1" applyFill="1" applyBorder="1" applyAlignment="1" applyProtection="1">
      <alignment horizontal="center" vertical="center"/>
    </xf>
    <xf numFmtId="0" fontId="19" fillId="9" borderId="1" xfId="0" applyFont="1" applyFill="1" applyBorder="1" applyAlignment="1" applyProtection="1">
      <alignment horizontal="center" vertical="center" wrapText="1"/>
    </xf>
    <xf numFmtId="0" fontId="19" fillId="9" borderId="2" xfId="0" applyFont="1" applyFill="1" applyBorder="1" applyAlignment="1" applyProtection="1">
      <alignment horizontal="center" vertical="center" wrapText="1"/>
    </xf>
    <xf numFmtId="0" fontId="19" fillId="9" borderId="3" xfId="0" applyFont="1" applyFill="1" applyBorder="1" applyAlignment="1" applyProtection="1">
      <alignment horizontal="center" vertical="center" wrapText="1"/>
    </xf>
    <xf numFmtId="0" fontId="18" fillId="6" borderId="1" xfId="0" applyFont="1" applyFill="1" applyBorder="1" applyAlignment="1" applyProtection="1">
      <alignment horizontal="center" vertical="center"/>
    </xf>
    <xf numFmtId="0" fontId="18" fillId="6" borderId="2" xfId="0" applyFont="1" applyFill="1" applyBorder="1" applyAlignment="1" applyProtection="1">
      <alignment horizontal="center" vertical="center"/>
    </xf>
    <xf numFmtId="0" fontId="18" fillId="6" borderId="3" xfId="0" applyFont="1" applyFill="1" applyBorder="1" applyAlignment="1" applyProtection="1">
      <alignment horizontal="center" vertical="center"/>
    </xf>
    <xf numFmtId="49" fontId="19" fillId="4" borderId="4" xfId="0" applyNumberFormat="1" applyFont="1" applyFill="1" applyBorder="1" applyAlignment="1" applyProtection="1">
      <alignment horizontal="center" vertical="center" wrapText="1"/>
      <protection locked="0"/>
    </xf>
    <xf numFmtId="0" fontId="22" fillId="9" borderId="15" xfId="0" applyFont="1" applyFill="1" applyBorder="1" applyAlignment="1" applyProtection="1">
      <alignment horizontal="center"/>
      <protection locked="0"/>
    </xf>
    <xf numFmtId="0" fontId="22" fillId="9" borderId="16" xfId="0" applyFont="1" applyFill="1" applyBorder="1" applyAlignment="1" applyProtection="1">
      <alignment horizontal="center"/>
      <protection locked="0"/>
    </xf>
    <xf numFmtId="0" fontId="22" fillId="9" borderId="17" xfId="0" applyFont="1" applyFill="1" applyBorder="1" applyAlignment="1" applyProtection="1">
      <alignment horizontal="center"/>
      <protection locked="0"/>
    </xf>
    <xf numFmtId="0" fontId="33" fillId="0" borderId="15" xfId="0" applyFont="1" applyBorder="1" applyAlignment="1" applyProtection="1">
      <alignment horizontal="center"/>
      <protection locked="0"/>
    </xf>
    <xf numFmtId="0" fontId="33" fillId="0" borderId="16" xfId="0" applyFont="1" applyBorder="1" applyAlignment="1" applyProtection="1">
      <alignment horizontal="center"/>
      <protection locked="0"/>
    </xf>
    <xf numFmtId="0" fontId="33" fillId="0" borderId="17" xfId="0" applyFont="1" applyBorder="1" applyAlignment="1" applyProtection="1">
      <alignment horizontal="center"/>
      <protection locked="0"/>
    </xf>
    <xf numFmtId="0" fontId="24" fillId="6" borderId="15" xfId="0" applyFont="1" applyFill="1" applyBorder="1" applyAlignment="1" applyProtection="1">
      <alignment horizontal="center" vertical="center"/>
      <protection locked="0"/>
    </xf>
    <xf numFmtId="0" fontId="24" fillId="6" borderId="16" xfId="0" applyFont="1" applyFill="1" applyBorder="1" applyAlignment="1" applyProtection="1">
      <alignment horizontal="center" vertical="center"/>
      <protection locked="0"/>
    </xf>
    <xf numFmtId="0" fontId="24" fillId="6" borderId="17" xfId="0" applyFont="1" applyFill="1" applyBorder="1" applyAlignment="1" applyProtection="1">
      <alignment horizontal="center" vertical="center"/>
      <protection locked="0"/>
    </xf>
    <xf numFmtId="0" fontId="22" fillId="6" borderId="15" xfId="0" applyFont="1" applyFill="1" applyBorder="1" applyAlignment="1" applyProtection="1">
      <alignment horizontal="center" vertical="center"/>
      <protection locked="0"/>
    </xf>
    <xf numFmtId="0" fontId="22" fillId="6" borderId="16" xfId="0" applyFont="1" applyFill="1" applyBorder="1" applyAlignment="1" applyProtection="1">
      <alignment horizontal="center" vertical="center"/>
      <protection locked="0"/>
    </xf>
    <xf numFmtId="0" fontId="22" fillId="6" borderId="17" xfId="0" applyFont="1" applyFill="1" applyBorder="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29</xdr:row>
          <xdr:rowOff>9525</xdr:rowOff>
        </xdr:from>
        <xdr:to>
          <xdr:col>1</xdr:col>
          <xdr:colOff>9525</xdr:colOff>
          <xdr:row>30</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3</xdr:row>
          <xdr:rowOff>9525</xdr:rowOff>
        </xdr:from>
        <xdr:to>
          <xdr:col>12</xdr:col>
          <xdr:colOff>1152525</xdr:colOff>
          <xdr:row>3</xdr:row>
          <xdr:rowOff>466725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1171575</xdr:colOff>
          <xdr:row>3</xdr:row>
          <xdr:rowOff>9525</xdr:rowOff>
        </xdr:from>
        <xdr:to>
          <xdr:col>14</xdr:col>
          <xdr:colOff>0</xdr:colOff>
          <xdr:row>3</xdr:row>
          <xdr:rowOff>466725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xdr:row>
          <xdr:rowOff>9525</xdr:rowOff>
        </xdr:from>
        <xdr:to>
          <xdr:col>8</xdr:col>
          <xdr:colOff>1838325</xdr:colOff>
          <xdr:row>3</xdr:row>
          <xdr:rowOff>466725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Update 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29</xdr:row>
          <xdr:rowOff>19050</xdr:rowOff>
        </xdr:from>
        <xdr:to>
          <xdr:col>19</xdr:col>
          <xdr:colOff>0</xdr:colOff>
          <xdr:row>30</xdr:row>
          <xdr:rowOff>200025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31</xdr:row>
          <xdr:rowOff>9525</xdr:rowOff>
        </xdr:from>
        <xdr:to>
          <xdr:col>0</xdr:col>
          <xdr:colOff>1666875</xdr:colOff>
          <xdr:row>32</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31</xdr:row>
          <xdr:rowOff>19050</xdr:rowOff>
        </xdr:from>
        <xdr:to>
          <xdr:col>6</xdr:col>
          <xdr:colOff>0</xdr:colOff>
          <xdr:row>32</xdr:row>
          <xdr:rowOff>200025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10</xdr:row>
          <xdr:rowOff>9525</xdr:rowOff>
        </xdr:from>
        <xdr:to>
          <xdr:col>0</xdr:col>
          <xdr:colOff>1019175</xdr:colOff>
          <xdr:row>12</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10</xdr:row>
          <xdr:rowOff>9525</xdr:rowOff>
        </xdr:from>
        <xdr:to>
          <xdr:col>1</xdr:col>
          <xdr:colOff>0</xdr:colOff>
          <xdr:row>12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10</xdr:row>
          <xdr:rowOff>9525</xdr:rowOff>
        </xdr:from>
        <xdr:to>
          <xdr:col>10</xdr:col>
          <xdr:colOff>1247775</xdr:colOff>
          <xdr:row>12</xdr:row>
          <xdr:rowOff>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200025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390525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0</xdr:colOff>
          <xdr:row>11</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M48"/>
  <sheetViews>
    <sheetView topLeftCell="B28" zoomScaleNormal="100" workbookViewId="0">
      <selection activeCell="E55" sqref="E55"/>
    </sheetView>
  </sheetViews>
  <sheetFormatPr defaultColWidth="10.875" defaultRowHeight="15.75" x14ac:dyDescent="0.25"/>
  <cols>
    <col min="1" max="1" width="20.875" style="55" customWidth="1"/>
    <col min="2" max="2" width="14.125" style="54" bestFit="1" customWidth="1"/>
    <col min="3" max="3" width="6.125" style="54" bestFit="1" customWidth="1"/>
    <col min="4" max="4" width="12.125" style="54" customWidth="1"/>
    <col min="5" max="5" width="11.875" style="54" bestFit="1" customWidth="1"/>
    <col min="6" max="6" width="19.625" style="57" customWidth="1"/>
    <col min="7" max="7" width="10.5" style="54" customWidth="1"/>
    <col min="8" max="8" width="12.125" style="54" customWidth="1"/>
    <col min="9" max="9" width="20" style="54" customWidth="1"/>
    <col min="10" max="10" width="16.25" style="54" customWidth="1"/>
    <col min="11" max="11" width="10.125" style="54" customWidth="1"/>
    <col min="12" max="12" width="21.125" style="54" customWidth="1"/>
    <col min="13" max="16384" width="10.875" style="54"/>
  </cols>
  <sheetData>
    <row r="1" spans="1:13" ht="19.5" thickBot="1" x14ac:dyDescent="0.3">
      <c r="A1" s="274" t="s">
        <v>361</v>
      </c>
      <c r="B1" s="275"/>
      <c r="C1" s="275"/>
      <c r="D1" s="275"/>
      <c r="E1" s="275"/>
      <c r="F1" s="275"/>
      <c r="G1" s="275"/>
      <c r="H1" s="275"/>
      <c r="I1" s="275"/>
      <c r="J1" s="275"/>
      <c r="K1" s="276"/>
    </row>
    <row r="2" spans="1:13" ht="16.5" thickBot="1" x14ac:dyDescent="0.3">
      <c r="B2" s="56"/>
    </row>
    <row r="3" spans="1:13" x14ac:dyDescent="0.25">
      <c r="A3" s="253" t="s">
        <v>286</v>
      </c>
      <c r="B3" s="254"/>
    </row>
    <row r="4" spans="1:13" ht="18.75" x14ac:dyDescent="0.25">
      <c r="A4" s="267" t="s">
        <v>72</v>
      </c>
      <c r="B4" s="268"/>
    </row>
    <row r="5" spans="1:13" ht="16.5" thickBot="1" x14ac:dyDescent="0.3">
      <c r="A5" s="269" t="s">
        <v>175</v>
      </c>
      <c r="B5" s="270"/>
    </row>
    <row r="6" spans="1:13" ht="16.5" thickBot="1" x14ac:dyDescent="0.3">
      <c r="B6" s="56"/>
    </row>
    <row r="7" spans="1:13" x14ac:dyDescent="0.25">
      <c r="A7" s="253" t="s">
        <v>244</v>
      </c>
      <c r="B7" s="255"/>
      <c r="C7" s="255"/>
      <c r="D7" s="255"/>
      <c r="E7" s="255"/>
      <c r="F7" s="255"/>
      <c r="G7" s="255"/>
      <c r="H7" s="255"/>
      <c r="I7" s="255"/>
      <c r="J7" s="255"/>
      <c r="K7" s="254"/>
    </row>
    <row r="8" spans="1:13" ht="18.75" x14ac:dyDescent="0.25">
      <c r="A8" s="277" t="s">
        <v>156</v>
      </c>
      <c r="B8" s="278"/>
      <c r="C8" s="278"/>
      <c r="D8" s="278"/>
      <c r="E8" s="278"/>
      <c r="F8" s="278"/>
      <c r="G8" s="278"/>
      <c r="H8" s="278"/>
      <c r="I8" s="278"/>
      <c r="J8" s="278"/>
      <c r="K8" s="279"/>
    </row>
    <row r="9" spans="1:13" ht="30.75" customHeight="1" thickBot="1" x14ac:dyDescent="0.3">
      <c r="A9" s="280"/>
      <c r="B9" s="281"/>
      <c r="C9" s="281"/>
      <c r="D9" s="281"/>
      <c r="E9" s="281"/>
      <c r="F9" s="281"/>
      <c r="G9" s="281"/>
      <c r="H9" s="281"/>
      <c r="I9" s="281"/>
      <c r="J9" s="281"/>
      <c r="K9" s="282"/>
    </row>
    <row r="10" spans="1:13" ht="16.5" thickBot="1" x14ac:dyDescent="0.3">
      <c r="A10" s="58"/>
      <c r="B10" s="59"/>
      <c r="C10" s="59"/>
      <c r="D10" s="59"/>
      <c r="E10" s="59"/>
      <c r="F10" s="60"/>
    </row>
    <row r="11" spans="1:13" ht="18" customHeight="1" x14ac:dyDescent="0.25">
      <c r="A11" s="256" t="s">
        <v>245</v>
      </c>
      <c r="B11" s="257"/>
      <c r="C11" s="257"/>
      <c r="D11" s="258"/>
      <c r="E11" s="59"/>
      <c r="F11" s="60"/>
    </row>
    <row r="12" spans="1:13" ht="18.75" x14ac:dyDescent="0.25">
      <c r="A12" s="259" t="s">
        <v>157</v>
      </c>
      <c r="B12" s="260"/>
      <c r="C12" s="261" t="s">
        <v>158</v>
      </c>
      <c r="D12" s="262"/>
      <c r="E12" s="59"/>
      <c r="F12" s="60"/>
    </row>
    <row r="13" spans="1:13" ht="16.5" thickBot="1" x14ac:dyDescent="0.3">
      <c r="A13" s="263"/>
      <c r="B13" s="264"/>
      <c r="C13" s="265"/>
      <c r="D13" s="266"/>
      <c r="E13" s="59"/>
      <c r="F13" s="60"/>
    </row>
    <row r="14" spans="1:13" ht="16.5" thickBot="1" x14ac:dyDescent="0.3"/>
    <row r="15" spans="1:13" ht="48.75" customHeight="1" x14ac:dyDescent="0.25">
      <c r="A15" s="256" t="s">
        <v>246</v>
      </c>
      <c r="B15" s="258"/>
      <c r="E15" s="256" t="s">
        <v>285</v>
      </c>
      <c r="F15" s="257"/>
      <c r="G15" s="257"/>
      <c r="H15" s="257"/>
      <c r="I15" s="257"/>
      <c r="J15" s="257"/>
      <c r="K15" s="258"/>
    </row>
    <row r="16" spans="1:13" ht="15.75" customHeight="1" x14ac:dyDescent="0.25">
      <c r="A16" s="267" t="s">
        <v>212</v>
      </c>
      <c r="B16" s="268"/>
      <c r="D16" s="37"/>
      <c r="E16" s="287" t="s">
        <v>177</v>
      </c>
      <c r="F16" s="288"/>
      <c r="G16" s="288"/>
      <c r="H16" s="288"/>
      <c r="I16" s="288"/>
      <c r="J16" s="288"/>
      <c r="K16" s="289"/>
      <c r="M16" s="233"/>
    </row>
    <row r="17" spans="1:11" ht="33" customHeight="1" x14ac:dyDescent="0.25">
      <c r="A17" s="86" t="s">
        <v>213</v>
      </c>
      <c r="B17" s="62" t="s">
        <v>249</v>
      </c>
      <c r="C17" s="63"/>
      <c r="E17" s="283" t="s">
        <v>529</v>
      </c>
      <c r="F17" s="284"/>
      <c r="G17" s="89" t="s">
        <v>153</v>
      </c>
      <c r="H17" s="89" t="s">
        <v>154</v>
      </c>
      <c r="I17" s="226" t="s">
        <v>318</v>
      </c>
      <c r="J17" s="285" t="s">
        <v>524</v>
      </c>
      <c r="K17" s="286"/>
    </row>
    <row r="18" spans="1:11" ht="15.75" customHeight="1" x14ac:dyDescent="0.25">
      <c r="A18" s="87" t="s">
        <v>241</v>
      </c>
      <c r="B18" s="88" t="s">
        <v>214</v>
      </c>
      <c r="C18" s="63"/>
      <c r="E18" s="67">
        <v>1</v>
      </c>
      <c r="F18" s="68" t="s">
        <v>165</v>
      </c>
      <c r="G18" s="69"/>
      <c r="H18" s="69" t="s">
        <v>155</v>
      </c>
      <c r="I18" s="290" t="s">
        <v>531</v>
      </c>
      <c r="J18" s="290" t="s">
        <v>532</v>
      </c>
      <c r="K18" s="303"/>
    </row>
    <row r="19" spans="1:11" ht="47.25" x14ac:dyDescent="0.25">
      <c r="A19" s="70" t="s">
        <v>259</v>
      </c>
      <c r="B19" s="71"/>
      <c r="C19" s="63"/>
      <c r="E19" s="67">
        <v>2</v>
      </c>
      <c r="F19" s="68" t="s">
        <v>5</v>
      </c>
      <c r="G19" s="69" t="s">
        <v>4</v>
      </c>
      <c r="H19" s="72" t="s">
        <v>176</v>
      </c>
      <c r="I19" s="290"/>
      <c r="J19" s="290"/>
      <c r="K19" s="303"/>
    </row>
    <row r="20" spans="1:11" ht="16.5" thickBot="1" x14ac:dyDescent="0.3">
      <c r="A20" s="70" t="s">
        <v>260</v>
      </c>
      <c r="B20" s="71"/>
      <c r="C20" s="73"/>
      <c r="E20" s="74">
        <v>3</v>
      </c>
      <c r="F20" s="75" t="s">
        <v>530</v>
      </c>
      <c r="G20" s="76"/>
      <c r="H20" s="76"/>
      <c r="I20" s="291"/>
      <c r="J20" s="291"/>
      <c r="K20" s="304"/>
    </row>
    <row r="21" spans="1:11" x14ac:dyDescent="0.25">
      <c r="A21" s="70" t="s">
        <v>264</v>
      </c>
      <c r="B21" s="71"/>
      <c r="C21" s="77"/>
      <c r="I21" s="64"/>
      <c r="J21" s="64"/>
    </row>
    <row r="22" spans="1:11" ht="16.5" thickBot="1" x14ac:dyDescent="0.3">
      <c r="A22" s="78"/>
      <c r="B22" s="79"/>
      <c r="C22" s="63"/>
      <c r="J22" s="64"/>
    </row>
    <row r="23" spans="1:11" ht="19.5" thickBot="1" x14ac:dyDescent="0.3">
      <c r="A23" s="80"/>
      <c r="B23" s="81"/>
      <c r="C23" s="73"/>
      <c r="E23" s="294" t="s">
        <v>178</v>
      </c>
      <c r="F23" s="295"/>
      <c r="G23" s="295"/>
      <c r="H23" s="295"/>
      <c r="I23" s="295"/>
      <c r="J23" s="295"/>
      <c r="K23" s="296"/>
    </row>
    <row r="24" spans="1:11" ht="33" customHeight="1" x14ac:dyDescent="0.25">
      <c r="A24" s="251" t="s">
        <v>216</v>
      </c>
      <c r="B24" s="252"/>
      <c r="C24" s="77"/>
      <c r="E24" s="283" t="s">
        <v>211</v>
      </c>
      <c r="F24" s="284"/>
      <c r="G24" s="89" t="s">
        <v>153</v>
      </c>
      <c r="H24" s="89" t="s">
        <v>154</v>
      </c>
      <c r="I24" s="226" t="s">
        <v>319</v>
      </c>
      <c r="J24" s="285" t="s">
        <v>525</v>
      </c>
      <c r="K24" s="286"/>
    </row>
    <row r="25" spans="1:11" ht="21.75" customHeight="1" x14ac:dyDescent="0.25">
      <c r="A25" s="61" t="s">
        <v>213</v>
      </c>
      <c r="B25" s="62" t="s">
        <v>256</v>
      </c>
      <c r="C25" s="77"/>
      <c r="E25" s="67">
        <v>1</v>
      </c>
      <c r="F25" s="68" t="s">
        <v>200</v>
      </c>
      <c r="G25" s="69"/>
      <c r="H25" s="69" t="s">
        <v>73</v>
      </c>
      <c r="I25" s="290" t="s">
        <v>337</v>
      </c>
      <c r="J25" s="290"/>
      <c r="K25" s="303"/>
    </row>
    <row r="26" spans="1:11" ht="31.5" customHeight="1" x14ac:dyDescent="0.25">
      <c r="A26" s="65" t="s">
        <v>241</v>
      </c>
      <c r="B26" s="66" t="s">
        <v>214</v>
      </c>
      <c r="C26" s="63"/>
      <c r="E26" s="67">
        <v>2</v>
      </c>
      <c r="F26" s="68" t="s">
        <v>5</v>
      </c>
      <c r="G26" s="69" t="s">
        <v>4</v>
      </c>
      <c r="H26" s="72" t="s">
        <v>181</v>
      </c>
      <c r="I26" s="290"/>
      <c r="J26" s="290"/>
      <c r="K26" s="303"/>
    </row>
    <row r="27" spans="1:11" ht="34.5" customHeight="1" thickBot="1" x14ac:dyDescent="0.3">
      <c r="A27" s="70" t="s">
        <v>257</v>
      </c>
      <c r="B27" s="71"/>
      <c r="C27" s="73"/>
      <c r="E27" s="74">
        <v>3</v>
      </c>
      <c r="F27" s="75" t="s">
        <v>166</v>
      </c>
      <c r="G27" s="76"/>
      <c r="H27" s="76"/>
      <c r="I27" s="291"/>
      <c r="J27" s="291"/>
      <c r="K27" s="304"/>
    </row>
    <row r="28" spans="1:11" x14ac:dyDescent="0.25">
      <c r="A28" s="70" t="s">
        <v>258</v>
      </c>
      <c r="B28" s="71"/>
      <c r="C28" s="77"/>
      <c r="E28" s="82"/>
      <c r="F28" s="83"/>
      <c r="G28" s="82"/>
      <c r="H28" s="82"/>
      <c r="I28" s="64"/>
    </row>
    <row r="29" spans="1:11" ht="16.5" thickBot="1" x14ac:dyDescent="0.3">
      <c r="A29" s="70"/>
      <c r="B29" s="71"/>
      <c r="C29" s="77"/>
      <c r="I29" s="64"/>
    </row>
    <row r="30" spans="1:11" ht="19.5" thickBot="1" x14ac:dyDescent="0.3">
      <c r="A30" s="78"/>
      <c r="B30" s="79"/>
      <c r="C30" s="63"/>
      <c r="E30" s="294" t="s">
        <v>179</v>
      </c>
      <c r="F30" s="295"/>
      <c r="G30" s="295"/>
      <c r="H30" s="295"/>
      <c r="I30" s="295"/>
      <c r="J30" s="295"/>
      <c r="K30" s="296"/>
    </row>
    <row r="31" spans="1:11" ht="63.75" customHeight="1" thickBot="1" x14ac:dyDescent="0.3">
      <c r="A31" s="80"/>
      <c r="B31" s="73"/>
      <c r="C31" s="73"/>
      <c r="E31" s="292" t="s">
        <v>345</v>
      </c>
      <c r="F31" s="293"/>
      <c r="G31" s="89" t="s">
        <v>153</v>
      </c>
      <c r="H31" s="89" t="s">
        <v>154</v>
      </c>
      <c r="I31" s="226" t="s">
        <v>320</v>
      </c>
      <c r="J31" s="285" t="s">
        <v>526</v>
      </c>
      <c r="K31" s="286"/>
    </row>
    <row r="32" spans="1:11" ht="18.75" customHeight="1" x14ac:dyDescent="0.25">
      <c r="A32" s="251" t="s">
        <v>217</v>
      </c>
      <c r="B32" s="252"/>
      <c r="C32" s="77"/>
      <c r="E32" s="67">
        <v>1</v>
      </c>
      <c r="F32" s="68" t="s">
        <v>165</v>
      </c>
      <c r="G32" s="69"/>
      <c r="H32" s="69"/>
      <c r="I32" s="271"/>
      <c r="J32" s="297"/>
      <c r="K32" s="298"/>
    </row>
    <row r="33" spans="1:11" x14ac:dyDescent="0.25">
      <c r="A33" s="61" t="s">
        <v>213</v>
      </c>
      <c r="B33" s="62" t="s">
        <v>263</v>
      </c>
      <c r="C33" s="63"/>
      <c r="E33" s="67">
        <v>2</v>
      </c>
      <c r="F33" s="68" t="s">
        <v>5</v>
      </c>
      <c r="G33" s="69" t="s">
        <v>4</v>
      </c>
      <c r="H33" s="72"/>
      <c r="I33" s="272"/>
      <c r="J33" s="299"/>
      <c r="K33" s="300"/>
    </row>
    <row r="34" spans="1:11" x14ac:dyDescent="0.25">
      <c r="A34" s="65" t="s">
        <v>215</v>
      </c>
      <c r="B34" s="66" t="s">
        <v>214</v>
      </c>
      <c r="E34" s="227">
        <v>3</v>
      </c>
      <c r="F34" s="228"/>
      <c r="G34" s="229"/>
      <c r="H34" s="230"/>
      <c r="I34" s="272"/>
      <c r="J34" s="299"/>
      <c r="K34" s="300"/>
    </row>
    <row r="35" spans="1:11" x14ac:dyDescent="0.25">
      <c r="A35" s="70" t="s">
        <v>202</v>
      </c>
      <c r="B35" s="71"/>
      <c r="E35" s="227">
        <v>4</v>
      </c>
      <c r="F35" s="228"/>
      <c r="G35" s="229"/>
      <c r="H35" s="230"/>
      <c r="I35" s="272"/>
      <c r="J35" s="299"/>
      <c r="K35" s="300"/>
    </row>
    <row r="36" spans="1:11" x14ac:dyDescent="0.25">
      <c r="A36" s="70" t="s">
        <v>203</v>
      </c>
      <c r="B36" s="71"/>
      <c r="E36" s="227">
        <v>5</v>
      </c>
      <c r="F36" s="228"/>
      <c r="G36" s="229"/>
      <c r="H36" s="230"/>
      <c r="I36" s="272"/>
      <c r="J36" s="299"/>
      <c r="K36" s="300"/>
    </row>
    <row r="37" spans="1:11" ht="16.5" thickBot="1" x14ac:dyDescent="0.3">
      <c r="A37" s="70" t="s">
        <v>204</v>
      </c>
      <c r="B37" s="71"/>
      <c r="E37" s="74">
        <v>6</v>
      </c>
      <c r="F37" s="75"/>
      <c r="G37" s="76"/>
      <c r="H37" s="76"/>
      <c r="I37" s="273"/>
      <c r="J37" s="301"/>
      <c r="K37" s="302"/>
    </row>
    <row r="38" spans="1:11" ht="16.5" thickBot="1" x14ac:dyDescent="0.3">
      <c r="A38" s="78" t="s">
        <v>205</v>
      </c>
      <c r="B38" s="79"/>
    </row>
    <row r="39" spans="1:11" ht="16.5" thickBot="1" x14ac:dyDescent="0.3">
      <c r="A39" s="84"/>
      <c r="B39" s="85"/>
    </row>
    <row r="40" spans="1:11" ht="18.75" x14ac:dyDescent="0.25">
      <c r="E40" s="294" t="s">
        <v>180</v>
      </c>
      <c r="F40" s="295"/>
      <c r="G40" s="295"/>
      <c r="H40" s="295"/>
      <c r="I40" s="295"/>
      <c r="J40" s="295"/>
      <c r="K40" s="296"/>
    </row>
    <row r="41" spans="1:11" ht="31.5" x14ac:dyDescent="0.25">
      <c r="E41" s="292" t="s">
        <v>560</v>
      </c>
      <c r="F41" s="293"/>
      <c r="G41" s="89" t="s">
        <v>153</v>
      </c>
      <c r="H41" s="89" t="s">
        <v>154</v>
      </c>
      <c r="I41" s="226" t="s">
        <v>321</v>
      </c>
      <c r="J41" s="285" t="s">
        <v>527</v>
      </c>
      <c r="K41" s="286"/>
    </row>
    <row r="42" spans="1:11" x14ac:dyDescent="0.25">
      <c r="E42" s="67">
        <v>1</v>
      </c>
      <c r="F42" s="225" t="s">
        <v>508</v>
      </c>
      <c r="G42" s="69"/>
      <c r="H42" s="69"/>
      <c r="I42" s="271" t="s">
        <v>337</v>
      </c>
      <c r="J42" s="297"/>
      <c r="K42" s="298"/>
    </row>
    <row r="43" spans="1:11" x14ac:dyDescent="0.25">
      <c r="E43" s="67">
        <v>2</v>
      </c>
      <c r="F43" s="68"/>
      <c r="G43" s="69"/>
      <c r="H43" s="72"/>
      <c r="I43" s="272"/>
      <c r="J43" s="299"/>
      <c r="K43" s="300"/>
    </row>
    <row r="44" spans="1:11" x14ac:dyDescent="0.25">
      <c r="E44" s="227">
        <v>3</v>
      </c>
      <c r="F44" s="228"/>
      <c r="G44" s="229"/>
      <c r="H44" s="230"/>
      <c r="I44" s="272"/>
      <c r="J44" s="299"/>
      <c r="K44" s="300"/>
    </row>
    <row r="45" spans="1:11" x14ac:dyDescent="0.25">
      <c r="E45" s="227">
        <v>4</v>
      </c>
      <c r="F45" s="228"/>
      <c r="G45" s="229"/>
      <c r="H45" s="230"/>
      <c r="I45" s="272"/>
      <c r="J45" s="299"/>
      <c r="K45" s="300"/>
    </row>
    <row r="46" spans="1:11" x14ac:dyDescent="0.25">
      <c r="E46" s="227">
        <v>5</v>
      </c>
      <c r="F46" s="228"/>
      <c r="G46" s="229"/>
      <c r="H46" s="230"/>
      <c r="I46" s="272"/>
      <c r="J46" s="299"/>
      <c r="K46" s="300"/>
    </row>
    <row r="47" spans="1:11" ht="16.5" thickBot="1" x14ac:dyDescent="0.3">
      <c r="E47" s="74">
        <v>6</v>
      </c>
      <c r="F47" s="75"/>
      <c r="G47" s="76"/>
      <c r="H47" s="76"/>
      <c r="I47" s="273"/>
      <c r="J47" s="301"/>
      <c r="K47" s="302"/>
    </row>
    <row r="48" spans="1:11" ht="15.95" customHeight="1" x14ac:dyDescent="0.25"/>
  </sheetData>
  <sheetProtection insertColumns="0" insertRows="0" deleteColumns="0" deleteRows="0"/>
  <mergeCells count="37">
    <mergeCell ref="I42:I47"/>
    <mergeCell ref="I18:I20"/>
    <mergeCell ref="E41:F41"/>
    <mergeCell ref="E31:F31"/>
    <mergeCell ref="E40:K40"/>
    <mergeCell ref="J41:K41"/>
    <mergeCell ref="J42:K47"/>
    <mergeCell ref="J18:K20"/>
    <mergeCell ref="E30:K30"/>
    <mergeCell ref="J31:K31"/>
    <mergeCell ref="J32:K37"/>
    <mergeCell ref="E23:K23"/>
    <mergeCell ref="E24:F24"/>
    <mergeCell ref="J24:K24"/>
    <mergeCell ref="I25:I27"/>
    <mergeCell ref="J25:K27"/>
    <mergeCell ref="A1:K1"/>
    <mergeCell ref="A8:K8"/>
    <mergeCell ref="A9:K9"/>
    <mergeCell ref="E17:F17"/>
    <mergeCell ref="A16:B16"/>
    <mergeCell ref="J17:K17"/>
    <mergeCell ref="E16:K16"/>
    <mergeCell ref="E15:K15"/>
    <mergeCell ref="A24:B24"/>
    <mergeCell ref="A32:B32"/>
    <mergeCell ref="A3:B3"/>
    <mergeCell ref="A7:K7"/>
    <mergeCell ref="A11:D11"/>
    <mergeCell ref="A15:B15"/>
    <mergeCell ref="A12:B12"/>
    <mergeCell ref="C12:D12"/>
    <mergeCell ref="A13:B13"/>
    <mergeCell ref="C13:D13"/>
    <mergeCell ref="A4:B4"/>
    <mergeCell ref="A5:B5"/>
    <mergeCell ref="I32:I3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S90"/>
  <sheetViews>
    <sheetView topLeftCell="A19" zoomScale="89" zoomScaleNormal="89" workbookViewId="0">
      <selection activeCell="L11" sqref="L11"/>
    </sheetView>
  </sheetViews>
  <sheetFormatPr defaultColWidth="11" defaultRowHeight="15.75" x14ac:dyDescent="0.25"/>
  <cols>
    <col min="1" max="1" width="20" customWidth="1"/>
    <col min="2" max="2" width="23.375" customWidth="1"/>
    <col min="3" max="3" width="18.125" customWidth="1"/>
    <col min="4" max="4" width="16" customWidth="1"/>
    <col min="5" max="5" width="15.125" customWidth="1"/>
    <col min="6" max="6" width="15" customWidth="1"/>
    <col min="7" max="7" width="14.125" customWidth="1"/>
    <col min="8" max="8" width="17.375" customWidth="1"/>
    <col min="9" max="9" width="24.25" customWidth="1"/>
    <col min="10" max="10" width="16.375" customWidth="1"/>
    <col min="11" max="11" width="18.75" customWidth="1"/>
    <col min="12" max="12" width="33.375" customWidth="1"/>
    <col min="13" max="13" width="31.625" customWidth="1"/>
    <col min="14" max="14" width="30" customWidth="1"/>
    <col min="15" max="15" width="17.5" customWidth="1"/>
    <col min="16" max="16" width="14.125" customWidth="1"/>
    <col min="17" max="17" width="14.5" customWidth="1"/>
    <col min="18" max="18" width="17.875" customWidth="1"/>
    <col min="19" max="19" width="20.375" customWidth="1"/>
  </cols>
  <sheetData>
    <row r="1" spans="1:17" s="1" customFormat="1" ht="25.5" customHeight="1" thickBot="1" x14ac:dyDescent="0.3">
      <c r="A1" s="308" t="s">
        <v>484</v>
      </c>
      <c r="B1" s="309"/>
      <c r="C1" s="309"/>
      <c r="D1" s="309"/>
      <c r="E1" s="309"/>
      <c r="F1" s="309"/>
      <c r="G1" s="309"/>
      <c r="H1" s="309"/>
      <c r="I1" s="309"/>
      <c r="J1" s="309"/>
      <c r="K1" s="309"/>
      <c r="L1" s="309"/>
      <c r="M1" s="309"/>
      <c r="N1" s="310"/>
    </row>
    <row r="2" spans="1:17" s="1" customFormat="1" ht="16.5" customHeight="1" thickBot="1" x14ac:dyDescent="0.3">
      <c r="A2" s="305" t="s">
        <v>218</v>
      </c>
      <c r="B2" s="306"/>
      <c r="C2" s="306"/>
      <c r="D2" s="306"/>
      <c r="E2" s="306"/>
      <c r="F2" s="306"/>
      <c r="G2" s="306"/>
      <c r="H2" s="306"/>
      <c r="I2" s="306"/>
      <c r="J2" s="306"/>
      <c r="K2" s="306"/>
      <c r="L2" s="306"/>
      <c r="M2" s="306"/>
      <c r="N2" s="307"/>
      <c r="O2" s="15"/>
    </row>
    <row r="3" spans="1:17" s="1" customFormat="1" ht="72.75" customHeight="1" x14ac:dyDescent="0.25">
      <c r="A3" s="137" t="s">
        <v>224</v>
      </c>
      <c r="B3" s="250" t="s">
        <v>287</v>
      </c>
      <c r="C3" s="313" t="s">
        <v>261</v>
      </c>
      <c r="D3" s="314"/>
      <c r="E3" s="314"/>
      <c r="F3" s="314"/>
      <c r="G3" s="314"/>
      <c r="H3" s="250" t="s">
        <v>288</v>
      </c>
      <c r="I3" s="147" t="s">
        <v>364</v>
      </c>
      <c r="J3" s="250" t="s">
        <v>289</v>
      </c>
      <c r="K3" s="250" t="s">
        <v>290</v>
      </c>
      <c r="L3" s="324" t="s">
        <v>353</v>
      </c>
      <c r="M3" s="325"/>
      <c r="N3" s="326"/>
      <c r="O3" s="15"/>
    </row>
    <row r="4" spans="1:17" s="1" customFormat="1" ht="37.5" customHeight="1" thickBot="1" x14ac:dyDescent="0.3">
      <c r="A4" s="138" t="s">
        <v>2</v>
      </c>
      <c r="B4" s="42" t="s">
        <v>5</v>
      </c>
      <c r="C4" s="42" t="s">
        <v>3</v>
      </c>
      <c r="D4" s="42" t="s">
        <v>249</v>
      </c>
      <c r="E4" s="42" t="s">
        <v>263</v>
      </c>
      <c r="F4" s="42" t="s">
        <v>256</v>
      </c>
      <c r="G4" s="42" t="s">
        <v>271</v>
      </c>
      <c r="H4" s="42" t="s">
        <v>182</v>
      </c>
      <c r="I4" s="42" t="s">
        <v>366</v>
      </c>
      <c r="J4" s="42" t="s">
        <v>6</v>
      </c>
      <c r="K4" s="42" t="s">
        <v>338</v>
      </c>
      <c r="L4" s="149"/>
      <c r="M4" s="149"/>
      <c r="N4" s="150"/>
    </row>
    <row r="5" spans="1:17" s="1" customFormat="1" x14ac:dyDescent="0.25">
      <c r="A5" s="25">
        <v>1</v>
      </c>
      <c r="B5" s="249" t="s">
        <v>533</v>
      </c>
      <c r="C5" s="26">
        <v>0.1</v>
      </c>
      <c r="D5" s="26" t="s">
        <v>259</v>
      </c>
      <c r="E5" s="26" t="s">
        <v>202</v>
      </c>
      <c r="F5" s="26" t="s">
        <v>258</v>
      </c>
      <c r="G5" s="26">
        <v>0.1</v>
      </c>
      <c r="H5" s="27">
        <v>1</v>
      </c>
      <c r="I5" s="27" t="s">
        <v>365</v>
      </c>
      <c r="J5" s="28" t="s">
        <v>360</v>
      </c>
      <c r="K5" s="43"/>
      <c r="L5" s="151" t="s">
        <v>528</v>
      </c>
      <c r="M5" s="153"/>
      <c r="N5" s="154"/>
      <c r="O5" s="35"/>
      <c r="P5" s="35"/>
      <c r="Q5" s="35"/>
    </row>
    <row r="6" spans="1:17" s="1" customFormat="1" x14ac:dyDescent="0.25">
      <c r="A6" s="25">
        <f>A5+1</f>
        <v>2</v>
      </c>
      <c r="B6" s="249" t="s">
        <v>534</v>
      </c>
      <c r="C6" s="26">
        <v>0.2</v>
      </c>
      <c r="D6" s="26" t="s">
        <v>259</v>
      </c>
      <c r="E6" s="26" t="s">
        <v>203</v>
      </c>
      <c r="F6" s="26" t="s">
        <v>258</v>
      </c>
      <c r="G6" s="26">
        <v>0.2</v>
      </c>
      <c r="H6" s="27">
        <v>1</v>
      </c>
      <c r="I6" s="27" t="s">
        <v>365</v>
      </c>
      <c r="J6" s="28" t="s">
        <v>183</v>
      </c>
      <c r="K6" s="43"/>
      <c r="L6" s="152" t="s">
        <v>547</v>
      </c>
      <c r="M6" s="155"/>
      <c r="N6" s="156"/>
      <c r="O6" s="35"/>
      <c r="P6" s="35"/>
      <c r="Q6" s="35"/>
    </row>
    <row r="7" spans="1:17" s="1" customFormat="1" x14ac:dyDescent="0.25">
      <c r="A7" s="25">
        <f t="shared" ref="A7:A13" si="0">A6+1</f>
        <v>3</v>
      </c>
      <c r="B7" s="249" t="s">
        <v>535</v>
      </c>
      <c r="C7" s="26">
        <v>0.5</v>
      </c>
      <c r="D7" s="26" t="s">
        <v>259</v>
      </c>
      <c r="E7" s="26" t="s">
        <v>204</v>
      </c>
      <c r="F7" s="26"/>
      <c r="G7" s="26"/>
      <c r="H7" s="27">
        <v>1</v>
      </c>
      <c r="I7" s="27" t="s">
        <v>365</v>
      </c>
      <c r="J7" s="28" t="s">
        <v>184</v>
      </c>
      <c r="K7" s="43"/>
      <c r="L7" s="152" t="s">
        <v>548</v>
      </c>
      <c r="M7" s="155"/>
      <c r="N7" s="156"/>
      <c r="O7" s="35"/>
      <c r="P7" s="35"/>
      <c r="Q7" s="35"/>
    </row>
    <row r="8" spans="1:17" s="1" customFormat="1" x14ac:dyDescent="0.25">
      <c r="A8" s="25">
        <f t="shared" si="0"/>
        <v>4</v>
      </c>
      <c r="B8" s="249" t="s">
        <v>536</v>
      </c>
      <c r="C8" s="26">
        <v>1</v>
      </c>
      <c r="D8" s="26" t="s">
        <v>259</v>
      </c>
      <c r="E8" s="26" t="s">
        <v>205</v>
      </c>
      <c r="F8" s="26" t="s">
        <v>257</v>
      </c>
      <c r="G8" s="26">
        <v>0.1</v>
      </c>
      <c r="H8" s="27">
        <v>1</v>
      </c>
      <c r="I8" s="27" t="s">
        <v>365</v>
      </c>
      <c r="J8" s="28" t="s">
        <v>185</v>
      </c>
      <c r="K8" s="43"/>
      <c r="L8" s="152" t="s">
        <v>549</v>
      </c>
      <c r="M8" s="155"/>
      <c r="N8" s="156"/>
      <c r="O8" s="35"/>
      <c r="P8" s="35"/>
      <c r="Q8" s="35"/>
    </row>
    <row r="9" spans="1:17" s="1" customFormat="1" x14ac:dyDescent="0.25">
      <c r="A9" s="25">
        <f t="shared" si="0"/>
        <v>5</v>
      </c>
      <c r="B9" s="249" t="s">
        <v>537</v>
      </c>
      <c r="C9" s="26">
        <v>2</v>
      </c>
      <c r="D9" s="26" t="s">
        <v>259</v>
      </c>
      <c r="E9" s="26"/>
      <c r="F9" s="26" t="s">
        <v>257</v>
      </c>
      <c r="G9" s="26">
        <v>0.2</v>
      </c>
      <c r="H9" s="27">
        <v>1</v>
      </c>
      <c r="I9" s="27" t="s">
        <v>365</v>
      </c>
      <c r="J9" s="28" t="s">
        <v>186</v>
      </c>
      <c r="K9" s="43"/>
      <c r="L9" s="152" t="s">
        <v>550</v>
      </c>
      <c r="M9" s="155"/>
      <c r="N9" s="156"/>
      <c r="O9" s="35"/>
      <c r="P9" s="35"/>
      <c r="Q9" s="35"/>
    </row>
    <row r="10" spans="1:17" s="1" customFormat="1" x14ac:dyDescent="0.25">
      <c r="A10" s="25">
        <f t="shared" si="0"/>
        <v>6</v>
      </c>
      <c r="B10" s="249" t="s">
        <v>538</v>
      </c>
      <c r="C10" s="26">
        <v>5</v>
      </c>
      <c r="D10" s="26" t="s">
        <v>264</v>
      </c>
      <c r="E10" s="26" t="s">
        <v>202</v>
      </c>
      <c r="F10" s="26"/>
      <c r="G10" s="26"/>
      <c r="H10" s="27">
        <v>1</v>
      </c>
      <c r="I10" s="27" t="s">
        <v>365</v>
      </c>
      <c r="J10" s="28" t="s">
        <v>187</v>
      </c>
      <c r="K10" s="43"/>
      <c r="L10" s="152" t="s">
        <v>551</v>
      </c>
      <c r="M10" s="155"/>
      <c r="N10" s="156"/>
      <c r="O10" s="35"/>
      <c r="P10" s="35"/>
      <c r="Q10" s="35"/>
    </row>
    <row r="11" spans="1:17" s="1" customFormat="1" x14ac:dyDescent="0.25">
      <c r="A11" s="25">
        <f t="shared" si="0"/>
        <v>7</v>
      </c>
      <c r="B11" s="249" t="s">
        <v>539</v>
      </c>
      <c r="C11" s="26">
        <v>10</v>
      </c>
      <c r="D11" s="26" t="s">
        <v>264</v>
      </c>
      <c r="E11" s="26" t="s">
        <v>203</v>
      </c>
      <c r="F11" s="26"/>
      <c r="G11" s="26"/>
      <c r="H11" s="27">
        <v>1</v>
      </c>
      <c r="I11" s="27" t="s">
        <v>365</v>
      </c>
      <c r="J11" s="28" t="s">
        <v>188</v>
      </c>
      <c r="K11" s="43"/>
      <c r="L11" s="152" t="s">
        <v>552</v>
      </c>
      <c r="M11" s="155"/>
      <c r="N11" s="156"/>
      <c r="O11" s="35"/>
      <c r="P11" s="35"/>
      <c r="Q11" s="35"/>
    </row>
    <row r="12" spans="1:17" s="1" customFormat="1" x14ac:dyDescent="0.25">
      <c r="A12" s="25">
        <f t="shared" si="0"/>
        <v>8</v>
      </c>
      <c r="B12" s="249" t="s">
        <v>540</v>
      </c>
      <c r="C12" s="26">
        <v>20</v>
      </c>
      <c r="D12" s="26" t="s">
        <v>264</v>
      </c>
      <c r="E12" s="26" t="s">
        <v>204</v>
      </c>
      <c r="F12" s="26"/>
      <c r="G12" s="26"/>
      <c r="H12" s="27">
        <v>1</v>
      </c>
      <c r="I12" s="27" t="s">
        <v>365</v>
      </c>
      <c r="J12" s="28" t="s">
        <v>189</v>
      </c>
      <c r="K12" s="43"/>
      <c r="L12" s="152" t="s">
        <v>553</v>
      </c>
      <c r="M12" s="155"/>
      <c r="N12" s="156"/>
      <c r="O12" s="35"/>
      <c r="P12" s="35"/>
      <c r="Q12" s="35"/>
    </row>
    <row r="13" spans="1:17" s="1" customFormat="1" x14ac:dyDescent="0.25">
      <c r="A13" s="25">
        <f t="shared" si="0"/>
        <v>9</v>
      </c>
      <c r="B13" s="249" t="s">
        <v>541</v>
      </c>
      <c r="C13" s="26">
        <v>50</v>
      </c>
      <c r="D13" s="26" t="s">
        <v>264</v>
      </c>
      <c r="E13" s="26" t="s">
        <v>205</v>
      </c>
      <c r="F13" s="26"/>
      <c r="G13" s="26"/>
      <c r="H13" s="27">
        <v>1</v>
      </c>
      <c r="I13" s="27" t="s">
        <v>365</v>
      </c>
      <c r="J13" s="28" t="s">
        <v>190</v>
      </c>
      <c r="K13" s="43"/>
      <c r="L13" s="152" t="s">
        <v>554</v>
      </c>
      <c r="M13" s="155"/>
      <c r="N13" s="156"/>
      <c r="O13" s="35"/>
      <c r="P13" s="35"/>
      <c r="Q13" s="35"/>
    </row>
    <row r="14" spans="1:17" s="1" customFormat="1" x14ac:dyDescent="0.25">
      <c r="A14" s="25">
        <f>A13+1</f>
        <v>10</v>
      </c>
      <c r="B14" s="249" t="s">
        <v>542</v>
      </c>
      <c r="C14" s="26">
        <v>100</v>
      </c>
      <c r="D14" s="26" t="s">
        <v>260</v>
      </c>
      <c r="E14" s="26"/>
      <c r="F14" s="26" t="s">
        <v>258</v>
      </c>
      <c r="G14" s="26">
        <v>100</v>
      </c>
      <c r="H14" s="27">
        <v>1</v>
      </c>
      <c r="I14" s="27" t="s">
        <v>365</v>
      </c>
      <c r="J14" s="28" t="s">
        <v>191</v>
      </c>
      <c r="K14" s="43"/>
      <c r="L14" s="152" t="s">
        <v>555</v>
      </c>
      <c r="M14" s="155"/>
      <c r="N14" s="156"/>
      <c r="O14" s="35"/>
      <c r="P14" s="35"/>
      <c r="Q14" s="35"/>
    </row>
    <row r="15" spans="1:17" s="1" customFormat="1" x14ac:dyDescent="0.25">
      <c r="A15" s="25">
        <f t="shared" ref="A15:A24" si="1">A14+1</f>
        <v>11</v>
      </c>
      <c r="B15" s="249" t="s">
        <v>543</v>
      </c>
      <c r="C15" s="26">
        <v>200</v>
      </c>
      <c r="D15" s="26" t="s">
        <v>260</v>
      </c>
      <c r="E15" s="26" t="s">
        <v>202</v>
      </c>
      <c r="F15" s="26" t="s">
        <v>258</v>
      </c>
      <c r="G15" s="26">
        <v>200</v>
      </c>
      <c r="H15" s="27">
        <v>1</v>
      </c>
      <c r="I15" s="27" t="s">
        <v>365</v>
      </c>
      <c r="J15" s="28" t="s">
        <v>192</v>
      </c>
      <c r="K15" s="43"/>
      <c r="L15" s="152" t="s">
        <v>556</v>
      </c>
      <c r="M15" s="155"/>
      <c r="N15" s="156"/>
      <c r="O15" s="35"/>
      <c r="P15" s="35"/>
      <c r="Q15" s="35"/>
    </row>
    <row r="16" spans="1:17" s="1" customFormat="1" x14ac:dyDescent="0.25">
      <c r="A16" s="25">
        <f t="shared" si="1"/>
        <v>12</v>
      </c>
      <c r="B16" s="249" t="s">
        <v>544</v>
      </c>
      <c r="C16" s="26">
        <v>500</v>
      </c>
      <c r="D16" s="26" t="s">
        <v>260</v>
      </c>
      <c r="E16" s="26" t="s">
        <v>203</v>
      </c>
      <c r="F16" s="26"/>
      <c r="G16" s="26"/>
      <c r="H16" s="27">
        <v>1</v>
      </c>
      <c r="I16" s="27" t="s">
        <v>365</v>
      </c>
      <c r="J16" s="28" t="s">
        <v>193</v>
      </c>
      <c r="K16" s="43"/>
      <c r="L16" s="152" t="s">
        <v>557</v>
      </c>
      <c r="M16" s="155"/>
      <c r="N16" s="156"/>
      <c r="O16" s="35"/>
      <c r="P16" s="35"/>
      <c r="Q16" s="35"/>
    </row>
    <row r="17" spans="1:19" s="1" customFormat="1" x14ac:dyDescent="0.25">
      <c r="A17" s="25">
        <f t="shared" si="1"/>
        <v>13</v>
      </c>
      <c r="B17" s="249" t="s">
        <v>545</v>
      </c>
      <c r="C17" s="26">
        <v>1000</v>
      </c>
      <c r="D17" s="26" t="s">
        <v>260</v>
      </c>
      <c r="E17" s="26" t="s">
        <v>204</v>
      </c>
      <c r="F17" s="26" t="s">
        <v>257</v>
      </c>
      <c r="G17" s="26">
        <v>100</v>
      </c>
      <c r="H17" s="27">
        <v>1</v>
      </c>
      <c r="I17" s="27" t="s">
        <v>365</v>
      </c>
      <c r="J17" s="28" t="s">
        <v>194</v>
      </c>
      <c r="K17" s="43"/>
      <c r="L17" s="152" t="s">
        <v>558</v>
      </c>
      <c r="M17" s="155"/>
      <c r="N17" s="156"/>
      <c r="O17" s="35"/>
      <c r="P17" s="35"/>
      <c r="Q17" s="35"/>
    </row>
    <row r="18" spans="1:19" s="1" customFormat="1" x14ac:dyDescent="0.25">
      <c r="A18" s="25">
        <f t="shared" si="1"/>
        <v>14</v>
      </c>
      <c r="B18" s="249" t="s">
        <v>546</v>
      </c>
      <c r="C18" s="26">
        <v>2000</v>
      </c>
      <c r="D18" s="26" t="s">
        <v>260</v>
      </c>
      <c r="E18" s="26" t="s">
        <v>205</v>
      </c>
      <c r="F18" s="26" t="s">
        <v>257</v>
      </c>
      <c r="G18" s="26">
        <v>200</v>
      </c>
      <c r="H18" s="27">
        <v>1</v>
      </c>
      <c r="I18" s="27" t="s">
        <v>365</v>
      </c>
      <c r="J18" s="28" t="s">
        <v>195</v>
      </c>
      <c r="K18" s="43"/>
      <c r="L18" s="152" t="s">
        <v>559</v>
      </c>
      <c r="M18" s="155"/>
      <c r="N18" s="156"/>
      <c r="O18" s="35"/>
      <c r="P18" s="35"/>
      <c r="Q18" s="35"/>
    </row>
    <row r="19" spans="1:19" s="1" customFormat="1" x14ac:dyDescent="0.25">
      <c r="A19" s="25">
        <f t="shared" si="1"/>
        <v>15</v>
      </c>
      <c r="B19" s="249" t="s">
        <v>196</v>
      </c>
      <c r="C19" s="26"/>
      <c r="D19" s="26"/>
      <c r="E19" s="29"/>
      <c r="F19" s="26"/>
      <c r="G19" s="26"/>
      <c r="H19" s="27">
        <v>2</v>
      </c>
      <c r="I19" s="27"/>
      <c r="J19" s="28"/>
      <c r="K19" s="43" t="s">
        <v>4</v>
      </c>
      <c r="L19" s="152" t="s">
        <v>346</v>
      </c>
      <c r="M19" s="155"/>
      <c r="N19" s="156"/>
      <c r="O19" s="35"/>
      <c r="P19" s="35"/>
      <c r="Q19" s="35"/>
    </row>
    <row r="20" spans="1:19" s="1" customFormat="1" x14ac:dyDescent="0.25">
      <c r="A20" s="25">
        <f t="shared" si="1"/>
        <v>16</v>
      </c>
      <c r="B20" s="249" t="s">
        <v>168</v>
      </c>
      <c r="C20" s="26"/>
      <c r="D20" s="26"/>
      <c r="E20" s="26"/>
      <c r="F20" s="26"/>
      <c r="G20" s="26"/>
      <c r="H20" s="27">
        <v>2</v>
      </c>
      <c r="I20" s="27"/>
      <c r="J20" s="28"/>
      <c r="K20" s="43" t="s">
        <v>4</v>
      </c>
      <c r="L20" s="152" t="s">
        <v>347</v>
      </c>
      <c r="M20" s="155"/>
      <c r="N20" s="156"/>
      <c r="O20" s="35"/>
      <c r="P20" s="35"/>
      <c r="Q20" s="35"/>
    </row>
    <row r="21" spans="1:19" s="1" customFormat="1" x14ac:dyDescent="0.25">
      <c r="A21" s="25">
        <f t="shared" si="1"/>
        <v>17</v>
      </c>
      <c r="B21" s="249" t="s">
        <v>197</v>
      </c>
      <c r="C21" s="26"/>
      <c r="D21" s="26"/>
      <c r="E21" s="26"/>
      <c r="F21" s="26"/>
      <c r="G21" s="26"/>
      <c r="H21" s="27">
        <v>2</v>
      </c>
      <c r="I21" s="27"/>
      <c r="J21" s="28"/>
      <c r="K21" s="43" t="s">
        <v>4</v>
      </c>
      <c r="L21" s="152" t="s">
        <v>348</v>
      </c>
      <c r="M21" s="155"/>
      <c r="N21" s="156"/>
      <c r="O21" s="35"/>
      <c r="P21" s="35"/>
      <c r="Q21" s="35"/>
    </row>
    <row r="22" spans="1:19" s="1" customFormat="1" x14ac:dyDescent="0.25">
      <c r="A22" s="25">
        <f t="shared" si="1"/>
        <v>18</v>
      </c>
      <c r="B22" s="249" t="s">
        <v>198</v>
      </c>
      <c r="C22" s="26"/>
      <c r="D22" s="26"/>
      <c r="E22" s="26"/>
      <c r="F22" s="26"/>
      <c r="G22" s="26"/>
      <c r="H22" s="27">
        <v>2</v>
      </c>
      <c r="I22" s="27"/>
      <c r="J22" s="28"/>
      <c r="K22" s="43" t="s">
        <v>4</v>
      </c>
      <c r="L22" s="152" t="s">
        <v>349</v>
      </c>
      <c r="M22" s="155"/>
      <c r="N22" s="156"/>
      <c r="O22" s="35"/>
      <c r="P22" s="35"/>
      <c r="Q22" s="35"/>
    </row>
    <row r="23" spans="1:19" s="1" customFormat="1" x14ac:dyDescent="0.25">
      <c r="A23" s="25">
        <f t="shared" si="1"/>
        <v>19</v>
      </c>
      <c r="B23" s="249" t="s">
        <v>199</v>
      </c>
      <c r="C23" s="26"/>
      <c r="D23" s="26"/>
      <c r="E23" s="26"/>
      <c r="F23" s="26"/>
      <c r="G23" s="26"/>
      <c r="H23" s="27">
        <v>2</v>
      </c>
      <c r="I23" s="27"/>
      <c r="J23" s="28"/>
      <c r="K23" s="43" t="s">
        <v>4</v>
      </c>
      <c r="L23" s="152" t="s">
        <v>350</v>
      </c>
      <c r="M23" s="155"/>
      <c r="N23" s="156"/>
      <c r="O23" s="35"/>
      <c r="P23" s="35"/>
      <c r="Q23" s="35"/>
    </row>
    <row r="24" spans="1:19" s="1" customFormat="1" x14ac:dyDescent="0.25">
      <c r="A24" s="25">
        <f t="shared" si="1"/>
        <v>20</v>
      </c>
      <c r="B24" s="249" t="s">
        <v>164</v>
      </c>
      <c r="C24" s="26"/>
      <c r="D24" s="26"/>
      <c r="E24" s="26"/>
      <c r="F24" s="26"/>
      <c r="G24" s="26"/>
      <c r="H24" s="27">
        <v>2</v>
      </c>
      <c r="I24" s="27" t="s">
        <v>429</v>
      </c>
      <c r="J24" s="28"/>
      <c r="K24" s="43" t="s">
        <v>4</v>
      </c>
      <c r="L24" s="152" t="s">
        <v>351</v>
      </c>
      <c r="M24" s="155"/>
      <c r="N24" s="156"/>
      <c r="O24" s="35"/>
      <c r="P24" s="35"/>
      <c r="Q24" s="35"/>
    </row>
    <row r="25" spans="1:19" s="1" customFormat="1" x14ac:dyDescent="0.25">
      <c r="A25" s="214">
        <v>21</v>
      </c>
      <c r="B25" s="215" t="s">
        <v>453</v>
      </c>
      <c r="C25" s="216"/>
      <c r="D25" s="216"/>
      <c r="E25" s="216"/>
      <c r="F25" s="216"/>
      <c r="G25" s="216"/>
      <c r="H25" s="217">
        <v>4</v>
      </c>
      <c r="I25" s="217"/>
      <c r="J25" s="218"/>
      <c r="K25" s="219" t="s">
        <v>4</v>
      </c>
      <c r="L25" s="231" t="s">
        <v>508</v>
      </c>
      <c r="M25" s="220"/>
      <c r="N25" s="221"/>
      <c r="O25" s="35"/>
      <c r="P25" s="35"/>
      <c r="Q25" s="35"/>
    </row>
    <row r="26" spans="1:19" s="1" customFormat="1" ht="16.5" thickBot="1" x14ac:dyDescent="0.3">
      <c r="A26" s="45">
        <v>22</v>
      </c>
      <c r="B26" s="46" t="s">
        <v>276</v>
      </c>
      <c r="C26" s="47"/>
      <c r="D26" s="47"/>
      <c r="E26" s="47"/>
      <c r="F26" s="47"/>
      <c r="G26" s="47"/>
      <c r="H26" s="48">
        <v>2</v>
      </c>
      <c r="I26" s="48"/>
      <c r="J26" s="49"/>
      <c r="K26" s="50" t="s">
        <v>4</v>
      </c>
      <c r="L26" s="232" t="s">
        <v>352</v>
      </c>
      <c r="M26" s="157"/>
      <c r="N26" s="158"/>
      <c r="O26" s="35"/>
      <c r="P26" s="35"/>
      <c r="Q26" s="35"/>
    </row>
    <row r="27" spans="1:19" s="1" customFormat="1" ht="16.5" thickBot="1" x14ac:dyDescent="0.3"/>
    <row r="28" spans="1:19" s="1" customFormat="1" ht="19.5" thickBot="1" x14ac:dyDescent="0.3">
      <c r="A28" s="327" t="s">
        <v>219</v>
      </c>
      <c r="B28" s="328"/>
      <c r="C28" s="328"/>
      <c r="D28" s="328"/>
      <c r="E28" s="328"/>
      <c r="F28" s="328"/>
      <c r="G28" s="328"/>
      <c r="H28" s="328"/>
      <c r="I28" s="328"/>
      <c r="J28" s="328"/>
      <c r="K28" s="328"/>
      <c r="L28" s="328"/>
      <c r="M28" s="328"/>
      <c r="N28" s="328"/>
      <c r="O28" s="328"/>
      <c r="P28" s="328"/>
      <c r="Q28" s="328"/>
      <c r="R28" s="328"/>
      <c r="S28" s="329"/>
    </row>
    <row r="29" spans="1:19" s="1" customFormat="1" ht="60" x14ac:dyDescent="0.25">
      <c r="A29" s="206" t="s">
        <v>252</v>
      </c>
      <c r="B29" s="207" t="s">
        <v>326</v>
      </c>
      <c r="C29" s="205" t="s">
        <v>299</v>
      </c>
      <c r="D29" s="205" t="s">
        <v>328</v>
      </c>
      <c r="E29" s="205" t="s">
        <v>240</v>
      </c>
      <c r="F29" s="205" t="s">
        <v>330</v>
      </c>
      <c r="G29" s="205" t="s">
        <v>339</v>
      </c>
      <c r="H29" s="205" t="s">
        <v>359</v>
      </c>
      <c r="I29" s="205" t="s">
        <v>339</v>
      </c>
      <c r="J29" s="205" t="s">
        <v>344</v>
      </c>
      <c r="K29" s="205" t="s">
        <v>354</v>
      </c>
      <c r="L29" s="208" t="s">
        <v>242</v>
      </c>
      <c r="M29" s="208" t="s">
        <v>242</v>
      </c>
      <c r="N29" s="208" t="s">
        <v>242</v>
      </c>
      <c r="O29" s="208" t="s">
        <v>242</v>
      </c>
      <c r="P29" s="205" t="s">
        <v>247</v>
      </c>
      <c r="Q29" s="205" t="s">
        <v>247</v>
      </c>
      <c r="R29" s="205" t="s">
        <v>247</v>
      </c>
      <c r="S29" s="213" t="s">
        <v>387</v>
      </c>
    </row>
    <row r="30" spans="1:19" s="1" customFormat="1" ht="30" x14ac:dyDescent="0.25">
      <c r="A30" s="30"/>
      <c r="B30" s="31" t="s">
        <v>16</v>
      </c>
      <c r="C30" s="31" t="s">
        <v>225</v>
      </c>
      <c r="D30" s="31" t="s">
        <v>327</v>
      </c>
      <c r="E30" s="31" t="s">
        <v>226</v>
      </c>
      <c r="F30" s="31" t="s">
        <v>148</v>
      </c>
      <c r="G30" s="31" t="s">
        <v>329</v>
      </c>
      <c r="H30" s="31" t="s">
        <v>340</v>
      </c>
      <c r="I30" s="31" t="s">
        <v>341</v>
      </c>
      <c r="J30" s="31" t="s">
        <v>342</v>
      </c>
      <c r="K30" s="31" t="s">
        <v>343</v>
      </c>
      <c r="L30" s="31" t="s">
        <v>90</v>
      </c>
      <c r="M30" s="31" t="s">
        <v>507</v>
      </c>
      <c r="N30" s="31" t="s">
        <v>91</v>
      </c>
      <c r="O30" s="31" t="s">
        <v>92</v>
      </c>
      <c r="P30" s="31" t="s">
        <v>227</v>
      </c>
      <c r="Q30" s="31" t="s">
        <v>228</v>
      </c>
      <c r="R30" s="31" t="s">
        <v>229</v>
      </c>
      <c r="S30" s="209"/>
    </row>
    <row r="31" spans="1:19" s="1" customFormat="1" ht="16.5" thickBot="1" x14ac:dyDescent="0.3">
      <c r="A31" s="32"/>
      <c r="B31" s="224" t="s">
        <v>485</v>
      </c>
      <c r="C31" s="33"/>
      <c r="D31" s="33"/>
      <c r="E31" s="34"/>
      <c r="F31" s="34"/>
      <c r="G31" s="34" t="s">
        <v>486</v>
      </c>
      <c r="H31" s="34"/>
      <c r="I31" s="34" t="s">
        <v>487</v>
      </c>
      <c r="J31" s="34">
        <v>3</v>
      </c>
      <c r="K31" s="34" t="s">
        <v>488</v>
      </c>
      <c r="L31" s="34">
        <v>100</v>
      </c>
      <c r="M31" s="34"/>
      <c r="N31" s="34">
        <v>0</v>
      </c>
      <c r="O31" s="34"/>
      <c r="P31" s="34">
        <v>4</v>
      </c>
      <c r="Q31" s="34">
        <v>10</v>
      </c>
      <c r="R31" s="34">
        <v>10</v>
      </c>
      <c r="S31" s="210"/>
    </row>
    <row r="32" spans="1:19" s="1" customFormat="1" ht="16.5" thickBot="1" x14ac:dyDescent="0.3"/>
    <row r="33" spans="1:12" s="1" customFormat="1" ht="18.75" x14ac:dyDescent="0.3">
      <c r="A33" s="321" t="s">
        <v>251</v>
      </c>
      <c r="B33" s="322"/>
      <c r="C33" s="322"/>
      <c r="D33" s="322"/>
      <c r="E33" s="322"/>
      <c r="F33" s="322"/>
      <c r="G33" s="322"/>
      <c r="H33" s="323"/>
      <c r="L33" s="38"/>
    </row>
    <row r="34" spans="1:12" s="1" customFormat="1" ht="34.5" customHeight="1" x14ac:dyDescent="0.25">
      <c r="A34" s="315" t="s">
        <v>323</v>
      </c>
      <c r="B34" s="316"/>
      <c r="C34" s="316"/>
      <c r="D34" s="316"/>
      <c r="E34" s="316"/>
      <c r="F34" s="316"/>
      <c r="G34" s="316"/>
      <c r="H34" s="317"/>
      <c r="L34" s="38"/>
    </row>
    <row r="35" spans="1:12" s="1" customFormat="1" x14ac:dyDescent="0.25">
      <c r="A35" s="315"/>
      <c r="B35" s="316"/>
      <c r="C35" s="316"/>
      <c r="D35" s="316"/>
      <c r="E35" s="316"/>
      <c r="F35" s="316"/>
      <c r="G35" s="316"/>
      <c r="H35" s="317"/>
    </row>
    <row r="36" spans="1:12" s="1" customFormat="1" x14ac:dyDescent="0.25">
      <c r="A36" s="315"/>
      <c r="B36" s="316"/>
      <c r="C36" s="316"/>
      <c r="D36" s="316"/>
      <c r="E36" s="316"/>
      <c r="F36" s="316"/>
      <c r="G36" s="316"/>
      <c r="H36" s="317"/>
    </row>
    <row r="37" spans="1:12" s="1" customFormat="1" ht="16.5" thickBot="1" x14ac:dyDescent="0.3">
      <c r="A37" s="318"/>
      <c r="B37" s="319"/>
      <c r="C37" s="319"/>
      <c r="D37" s="319"/>
      <c r="E37" s="319"/>
      <c r="F37" s="319"/>
      <c r="G37" s="319"/>
      <c r="H37" s="320"/>
    </row>
    <row r="38" spans="1:12" s="1" customFormat="1" x14ac:dyDescent="0.25"/>
    <row r="39" spans="1:12" s="1" customFormat="1" ht="21" x14ac:dyDescent="0.25">
      <c r="A39" s="312" t="s">
        <v>277</v>
      </c>
      <c r="B39" s="312"/>
      <c r="C39" s="312"/>
      <c r="D39" s="312"/>
      <c r="E39" s="312"/>
      <c r="F39" s="312"/>
      <c r="G39" s="312"/>
    </row>
    <row r="40" spans="1:12" s="1" customFormat="1" x14ac:dyDescent="0.25">
      <c r="A40" s="249" t="s">
        <v>284</v>
      </c>
      <c r="B40" s="249" t="s">
        <v>278</v>
      </c>
      <c r="C40" s="249" t="s">
        <v>279</v>
      </c>
      <c r="D40" s="311" t="s">
        <v>280</v>
      </c>
      <c r="E40" s="311"/>
      <c r="F40" s="311"/>
      <c r="G40" s="311"/>
    </row>
    <row r="41" spans="1:12" x14ac:dyDescent="0.25">
      <c r="A41" t="s">
        <v>281</v>
      </c>
      <c r="B41" t="s">
        <v>282</v>
      </c>
      <c r="C41" t="s">
        <v>690</v>
      </c>
      <c r="D41" s="202" t="s">
        <v>657</v>
      </c>
    </row>
    <row r="42" spans="1:12" ht="18.75" customHeight="1" x14ac:dyDescent="0.25">
      <c r="A42" t="s">
        <v>300</v>
      </c>
      <c r="B42" t="s">
        <v>304</v>
      </c>
      <c r="C42" t="s">
        <v>690</v>
      </c>
      <c r="D42" s="203" t="s">
        <v>301</v>
      </c>
    </row>
    <row r="43" spans="1:12" ht="18" customHeight="1" x14ac:dyDescent="0.25">
      <c r="A43" t="s">
        <v>300</v>
      </c>
      <c r="B43" t="s">
        <v>305</v>
      </c>
      <c r="C43" t="s">
        <v>690</v>
      </c>
      <c r="D43" s="202" t="s">
        <v>302</v>
      </c>
    </row>
    <row r="44" spans="1:12" x14ac:dyDescent="0.25">
      <c r="A44" t="s">
        <v>300</v>
      </c>
      <c r="B44" t="s">
        <v>306</v>
      </c>
      <c r="C44" t="s">
        <v>690</v>
      </c>
      <c r="D44" s="202" t="s">
        <v>317</v>
      </c>
    </row>
    <row r="45" spans="1:12" x14ac:dyDescent="0.25">
      <c r="A45" t="s">
        <v>300</v>
      </c>
      <c r="B45" t="s">
        <v>307</v>
      </c>
      <c r="C45" t="s">
        <v>690</v>
      </c>
      <c r="D45" s="204" t="s">
        <v>303</v>
      </c>
    </row>
    <row r="46" spans="1:12" x14ac:dyDescent="0.25">
      <c r="A46" t="s">
        <v>509</v>
      </c>
      <c r="B46" t="s">
        <v>283</v>
      </c>
      <c r="C46" t="s">
        <v>690</v>
      </c>
      <c r="D46" s="203" t="s">
        <v>510</v>
      </c>
    </row>
    <row r="47" spans="1:12" x14ac:dyDescent="0.25">
      <c r="A47" t="s">
        <v>509</v>
      </c>
      <c r="B47" t="s">
        <v>283</v>
      </c>
      <c r="C47" t="s">
        <v>690</v>
      </c>
      <c r="D47" s="203" t="s">
        <v>388</v>
      </c>
    </row>
    <row r="48" spans="1:12" x14ac:dyDescent="0.25">
      <c r="A48" t="s">
        <v>509</v>
      </c>
      <c r="B48" t="s">
        <v>283</v>
      </c>
      <c r="C48" t="s">
        <v>690</v>
      </c>
      <c r="D48" s="203" t="s">
        <v>511</v>
      </c>
    </row>
    <row r="49" spans="1:4" x14ac:dyDescent="0.25">
      <c r="A49" t="s">
        <v>509</v>
      </c>
      <c r="B49" t="s">
        <v>283</v>
      </c>
      <c r="C49" t="s">
        <v>690</v>
      </c>
      <c r="D49" s="203" t="s">
        <v>512</v>
      </c>
    </row>
    <row r="50" spans="1:4" x14ac:dyDescent="0.25">
      <c r="A50" t="s">
        <v>509</v>
      </c>
      <c r="B50" t="s">
        <v>283</v>
      </c>
      <c r="C50" t="s">
        <v>690</v>
      </c>
      <c r="D50" s="203" t="s">
        <v>513</v>
      </c>
    </row>
    <row r="51" spans="1:4" x14ac:dyDescent="0.25">
      <c r="A51" t="s">
        <v>509</v>
      </c>
      <c r="B51" t="s">
        <v>283</v>
      </c>
      <c r="C51" t="s">
        <v>690</v>
      </c>
      <c r="D51" s="203" t="s">
        <v>514</v>
      </c>
    </row>
    <row r="52" spans="1:4" x14ac:dyDescent="0.25">
      <c r="A52" t="s">
        <v>509</v>
      </c>
      <c r="B52" t="s">
        <v>308</v>
      </c>
      <c r="C52" t="s">
        <v>690</v>
      </c>
      <c r="D52" s="203" t="s">
        <v>515</v>
      </c>
    </row>
    <row r="53" spans="1:4" x14ac:dyDescent="0.25">
      <c r="A53" t="s">
        <v>509</v>
      </c>
      <c r="B53" t="s">
        <v>308</v>
      </c>
      <c r="C53" t="s">
        <v>690</v>
      </c>
      <c r="D53" s="203" t="s">
        <v>516</v>
      </c>
    </row>
    <row r="54" spans="1:4" x14ac:dyDescent="0.25">
      <c r="A54" t="s">
        <v>517</v>
      </c>
      <c r="B54" t="s">
        <v>518</v>
      </c>
      <c r="C54" t="s">
        <v>690</v>
      </c>
      <c r="D54" s="203" t="s">
        <v>519</v>
      </c>
    </row>
    <row r="55" spans="1:4" x14ac:dyDescent="0.25">
      <c r="A55" t="s">
        <v>566</v>
      </c>
      <c r="B55" t="s">
        <v>567</v>
      </c>
      <c r="C55" t="s">
        <v>690</v>
      </c>
      <c r="D55" s="203" t="s">
        <v>568</v>
      </c>
    </row>
    <row r="56" spans="1:4" x14ac:dyDescent="0.25">
      <c r="A56" t="s">
        <v>566</v>
      </c>
      <c r="B56" t="s">
        <v>567</v>
      </c>
      <c r="C56" t="s">
        <v>690</v>
      </c>
      <c r="D56" s="203" t="s">
        <v>569</v>
      </c>
    </row>
    <row r="57" spans="1:4" x14ac:dyDescent="0.25">
      <c r="A57" t="s">
        <v>566</v>
      </c>
      <c r="B57" t="s">
        <v>567</v>
      </c>
      <c r="C57" t="s">
        <v>690</v>
      </c>
      <c r="D57" s="203" t="s">
        <v>570</v>
      </c>
    </row>
    <row r="58" spans="1:4" x14ac:dyDescent="0.25">
      <c r="A58" t="s">
        <v>566</v>
      </c>
      <c r="B58" t="s">
        <v>567</v>
      </c>
      <c r="C58" t="s">
        <v>690</v>
      </c>
      <c r="D58" s="203" t="s">
        <v>571</v>
      </c>
    </row>
    <row r="59" spans="1:4" x14ac:dyDescent="0.25">
      <c r="A59" t="s">
        <v>566</v>
      </c>
      <c r="B59" t="s">
        <v>567</v>
      </c>
      <c r="C59" t="s">
        <v>690</v>
      </c>
      <c r="D59" s="203" t="s">
        <v>572</v>
      </c>
    </row>
    <row r="60" spans="1:4" x14ac:dyDescent="0.25">
      <c r="A60" t="s">
        <v>566</v>
      </c>
      <c r="B60" t="s">
        <v>567</v>
      </c>
      <c r="C60" t="s">
        <v>690</v>
      </c>
      <c r="D60" s="203" t="s">
        <v>573</v>
      </c>
    </row>
    <row r="61" spans="1:4" x14ac:dyDescent="0.25">
      <c r="A61" t="s">
        <v>566</v>
      </c>
      <c r="B61" t="s">
        <v>567</v>
      </c>
      <c r="C61" t="s">
        <v>690</v>
      </c>
      <c r="D61" s="203" t="s">
        <v>574</v>
      </c>
    </row>
    <row r="62" spans="1:4" x14ac:dyDescent="0.25">
      <c r="A62" t="s">
        <v>566</v>
      </c>
      <c r="B62" t="s">
        <v>567</v>
      </c>
      <c r="C62" t="s">
        <v>690</v>
      </c>
      <c r="D62" s="203" t="s">
        <v>575</v>
      </c>
    </row>
    <row r="63" spans="1:4" x14ac:dyDescent="0.25">
      <c r="A63" t="s">
        <v>566</v>
      </c>
      <c r="B63" t="s">
        <v>567</v>
      </c>
      <c r="C63" t="s">
        <v>690</v>
      </c>
      <c r="D63" s="203" t="s">
        <v>576</v>
      </c>
    </row>
    <row r="64" spans="1:4" x14ac:dyDescent="0.25">
      <c r="A64" t="s">
        <v>566</v>
      </c>
      <c r="B64" t="s">
        <v>567</v>
      </c>
      <c r="C64" t="s">
        <v>690</v>
      </c>
      <c r="D64" s="203" t="s">
        <v>577</v>
      </c>
    </row>
    <row r="65" spans="1:4" x14ac:dyDescent="0.25">
      <c r="A65" t="s">
        <v>566</v>
      </c>
      <c r="B65" t="s">
        <v>567</v>
      </c>
      <c r="C65" t="s">
        <v>690</v>
      </c>
      <c r="D65" s="203" t="s">
        <v>578</v>
      </c>
    </row>
    <row r="66" spans="1:4" x14ac:dyDescent="0.25">
      <c r="A66" t="s">
        <v>566</v>
      </c>
      <c r="B66" t="s">
        <v>567</v>
      </c>
      <c r="C66" t="s">
        <v>690</v>
      </c>
      <c r="D66" s="203" t="s">
        <v>579</v>
      </c>
    </row>
    <row r="67" spans="1:4" x14ac:dyDescent="0.25">
      <c r="A67" t="s">
        <v>566</v>
      </c>
      <c r="B67" t="s">
        <v>567</v>
      </c>
      <c r="C67" t="s">
        <v>690</v>
      </c>
      <c r="D67" s="203" t="s">
        <v>580</v>
      </c>
    </row>
    <row r="68" spans="1:4" x14ac:dyDescent="0.25">
      <c r="A68" t="s">
        <v>566</v>
      </c>
      <c r="B68" t="s">
        <v>567</v>
      </c>
      <c r="C68" t="s">
        <v>690</v>
      </c>
      <c r="D68" s="203" t="s">
        <v>581</v>
      </c>
    </row>
    <row r="69" spans="1:4" x14ac:dyDescent="0.25">
      <c r="A69" t="s">
        <v>520</v>
      </c>
      <c r="B69" t="s">
        <v>521</v>
      </c>
      <c r="C69" t="s">
        <v>690</v>
      </c>
      <c r="D69" s="203" t="s">
        <v>522</v>
      </c>
    </row>
    <row r="70" spans="1:4" x14ac:dyDescent="0.25">
      <c r="A70" t="s">
        <v>520</v>
      </c>
      <c r="B70" t="s">
        <v>521</v>
      </c>
      <c r="C70" t="s">
        <v>690</v>
      </c>
      <c r="D70" s="203" t="s">
        <v>522</v>
      </c>
    </row>
    <row r="71" spans="1:4" x14ac:dyDescent="0.25">
      <c r="A71" t="s">
        <v>520</v>
      </c>
      <c r="B71" t="s">
        <v>521</v>
      </c>
      <c r="C71" t="s">
        <v>690</v>
      </c>
      <c r="D71" s="203" t="s">
        <v>522</v>
      </c>
    </row>
    <row r="72" spans="1:4" x14ac:dyDescent="0.25">
      <c r="A72" t="s">
        <v>520</v>
      </c>
      <c r="B72" t="s">
        <v>521</v>
      </c>
      <c r="C72" t="s">
        <v>690</v>
      </c>
      <c r="D72" s="203" t="s">
        <v>522</v>
      </c>
    </row>
    <row r="73" spans="1:4" x14ac:dyDescent="0.25">
      <c r="A73" t="s">
        <v>520</v>
      </c>
      <c r="B73" t="s">
        <v>521</v>
      </c>
      <c r="C73" t="s">
        <v>690</v>
      </c>
      <c r="D73" s="203" t="s">
        <v>522</v>
      </c>
    </row>
    <row r="74" spans="1:4" x14ac:dyDescent="0.25">
      <c r="A74" t="s">
        <v>331</v>
      </c>
      <c r="B74" t="s">
        <v>332</v>
      </c>
      <c r="C74" t="s">
        <v>690</v>
      </c>
      <c r="D74" s="202" t="s">
        <v>582</v>
      </c>
    </row>
    <row r="75" spans="1:4" x14ac:dyDescent="0.25">
      <c r="A75" t="s">
        <v>331</v>
      </c>
      <c r="B75" t="s">
        <v>332</v>
      </c>
      <c r="C75" t="s">
        <v>690</v>
      </c>
      <c r="D75" s="202" t="s">
        <v>583</v>
      </c>
    </row>
    <row r="76" spans="1:4" x14ac:dyDescent="0.25">
      <c r="A76" t="s">
        <v>331</v>
      </c>
      <c r="B76" t="s">
        <v>332</v>
      </c>
      <c r="C76" t="s">
        <v>690</v>
      </c>
      <c r="D76" s="202" t="s">
        <v>584</v>
      </c>
    </row>
    <row r="77" spans="1:4" x14ac:dyDescent="0.25">
      <c r="A77" t="s">
        <v>331</v>
      </c>
      <c r="B77" t="s">
        <v>332</v>
      </c>
      <c r="C77" t="s">
        <v>690</v>
      </c>
      <c r="D77" s="202" t="s">
        <v>585</v>
      </c>
    </row>
    <row r="78" spans="1:4" x14ac:dyDescent="0.25">
      <c r="A78" t="s">
        <v>331</v>
      </c>
      <c r="B78" t="s">
        <v>332</v>
      </c>
      <c r="C78" t="s">
        <v>690</v>
      </c>
      <c r="D78" s="202" t="s">
        <v>586</v>
      </c>
    </row>
    <row r="79" spans="1:4" x14ac:dyDescent="0.25">
      <c r="A79" t="s">
        <v>331</v>
      </c>
      <c r="B79" t="s">
        <v>332</v>
      </c>
      <c r="C79" t="s">
        <v>690</v>
      </c>
      <c r="D79" s="202" t="s">
        <v>587</v>
      </c>
    </row>
    <row r="80" spans="1:4" x14ac:dyDescent="0.25">
      <c r="A80" t="s">
        <v>331</v>
      </c>
      <c r="B80" t="s">
        <v>332</v>
      </c>
      <c r="C80" t="s">
        <v>690</v>
      </c>
      <c r="D80" s="202" t="s">
        <v>588</v>
      </c>
    </row>
    <row r="81" spans="1:4" x14ac:dyDescent="0.25">
      <c r="A81" t="s">
        <v>331</v>
      </c>
      <c r="B81" t="s">
        <v>332</v>
      </c>
      <c r="C81" t="s">
        <v>690</v>
      </c>
      <c r="D81" s="202" t="s">
        <v>589</v>
      </c>
    </row>
    <row r="82" spans="1:4" x14ac:dyDescent="0.25">
      <c r="A82" t="s">
        <v>331</v>
      </c>
      <c r="B82" t="s">
        <v>332</v>
      </c>
      <c r="C82" t="s">
        <v>690</v>
      </c>
      <c r="D82" s="202" t="s">
        <v>590</v>
      </c>
    </row>
    <row r="83" spans="1:4" x14ac:dyDescent="0.25">
      <c r="A83" t="s">
        <v>331</v>
      </c>
      <c r="B83" t="s">
        <v>332</v>
      </c>
      <c r="C83" t="s">
        <v>690</v>
      </c>
      <c r="D83" s="202" t="s">
        <v>591</v>
      </c>
    </row>
    <row r="84" spans="1:4" x14ac:dyDescent="0.25">
      <c r="A84" t="s">
        <v>331</v>
      </c>
      <c r="B84" t="s">
        <v>332</v>
      </c>
      <c r="C84" t="s">
        <v>691</v>
      </c>
      <c r="D84" s="202" t="s">
        <v>592</v>
      </c>
    </row>
    <row r="85" spans="1:4" x14ac:dyDescent="0.25">
      <c r="A85" t="s">
        <v>331</v>
      </c>
      <c r="B85" t="s">
        <v>332</v>
      </c>
      <c r="C85" t="s">
        <v>691</v>
      </c>
      <c r="D85" s="202" t="s">
        <v>593</v>
      </c>
    </row>
    <row r="86" spans="1:4" x14ac:dyDescent="0.25">
      <c r="A86" t="s">
        <v>331</v>
      </c>
      <c r="B86" t="s">
        <v>332</v>
      </c>
      <c r="C86" t="s">
        <v>691</v>
      </c>
      <c r="D86" s="202" t="s">
        <v>594</v>
      </c>
    </row>
    <row r="87" spans="1:4" x14ac:dyDescent="0.25">
      <c r="A87" t="s">
        <v>331</v>
      </c>
      <c r="B87" t="s">
        <v>332</v>
      </c>
      <c r="C87" t="s">
        <v>691</v>
      </c>
      <c r="D87" s="202" t="s">
        <v>595</v>
      </c>
    </row>
    <row r="88" spans="1:4" x14ac:dyDescent="0.25">
      <c r="A88" t="s">
        <v>331</v>
      </c>
      <c r="B88" t="s">
        <v>332</v>
      </c>
      <c r="C88" t="s">
        <v>691</v>
      </c>
      <c r="D88" s="202" t="s">
        <v>523</v>
      </c>
    </row>
    <row r="89" spans="1:4" x14ac:dyDescent="0.25">
      <c r="A89" t="s">
        <v>331</v>
      </c>
      <c r="B89" t="s">
        <v>332</v>
      </c>
      <c r="C89" t="s">
        <v>691</v>
      </c>
      <c r="D89" s="202" t="s">
        <v>523</v>
      </c>
    </row>
    <row r="90" spans="1:4" x14ac:dyDescent="0.25">
      <c r="D90" s="235"/>
    </row>
  </sheetData>
  <mergeCells count="9">
    <mergeCell ref="A2:N2"/>
    <mergeCell ref="A1:N1"/>
    <mergeCell ref="D40:G40"/>
    <mergeCell ref="A39:G39"/>
    <mergeCell ref="C3:G3"/>
    <mergeCell ref="A34:H37"/>
    <mergeCell ref="A33:H33"/>
    <mergeCell ref="L3:N3"/>
    <mergeCell ref="A28:S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RunBA">
                <anchor moveWithCells="1" sizeWithCells="1">
                  <from>
                    <xdr:col>0</xdr:col>
                    <xdr:colOff>9525</xdr:colOff>
                    <xdr:row>29</xdr:row>
                    <xdr:rowOff>9525</xdr:rowOff>
                  </from>
                  <to>
                    <xdr:col>1</xdr:col>
                    <xdr:colOff>9525</xdr:colOff>
                    <xdr:row>30</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UpdateFilenames">
                <anchor moveWithCells="1" sizeWithCells="1">
                  <from>
                    <xdr:col>11</xdr:col>
                    <xdr:colOff>9525</xdr:colOff>
                    <xdr:row>3</xdr:row>
                    <xdr:rowOff>9525</xdr:rowOff>
                  </from>
                  <to>
                    <xdr:col>12</xdr:col>
                    <xdr:colOff>1152525</xdr:colOff>
                    <xdr:row>3</xdr:row>
                    <xdr:rowOff>466725</xdr:rowOff>
                  </to>
                </anchor>
              </controlPr>
            </control>
          </mc:Choice>
        </mc:AlternateContent>
        <mc:AlternateContent xmlns:mc="http://schemas.openxmlformats.org/markup-compatibility/2006">
          <mc:Choice Requires="x14">
            <control shapeId="3076" r:id="rId6" name="Button 4">
              <controlPr defaultSize="0" print="0" autoFill="0" autoPict="0" macro="[0]!UpdateFilenames">
                <anchor moveWithCells="1" sizeWithCells="1">
                  <from>
                    <xdr:col>12</xdr:col>
                    <xdr:colOff>1171575</xdr:colOff>
                    <xdr:row>3</xdr:row>
                    <xdr:rowOff>9525</xdr:rowOff>
                  </from>
                  <to>
                    <xdr:col>14</xdr:col>
                    <xdr:colOff>0</xdr:colOff>
                    <xdr:row>3</xdr:row>
                    <xdr:rowOff>466725</xdr:rowOff>
                  </to>
                </anchor>
              </controlPr>
            </control>
          </mc:Choice>
        </mc:AlternateContent>
        <mc:AlternateContent xmlns:mc="http://schemas.openxmlformats.org/markup-compatibility/2006">
          <mc:Choice Requires="x14">
            <control shapeId="3077" r:id="rId7" name="Button 5">
              <controlPr defaultSize="0" print="0" autoFill="0" autoPict="0" macro="[0]!UpdatePlates">
                <anchor moveWithCells="1" sizeWithCells="1">
                  <from>
                    <xdr:col>8</xdr:col>
                    <xdr:colOff>19050</xdr:colOff>
                    <xdr:row>3</xdr:row>
                    <xdr:rowOff>9525</xdr:rowOff>
                  </from>
                  <to>
                    <xdr:col>8</xdr:col>
                    <xdr:colOff>1838325</xdr:colOff>
                    <xdr:row>3</xdr:row>
                    <xdr:rowOff>466725</xdr:rowOff>
                  </to>
                </anchor>
              </controlPr>
            </control>
          </mc:Choice>
        </mc:AlternateContent>
        <mc:AlternateContent xmlns:mc="http://schemas.openxmlformats.org/markup-compatibility/2006">
          <mc:Choice Requires="x14">
            <control shapeId="3078" r:id="rId8" name="Button 6">
              <controlPr defaultSize="0" print="0" autoFill="0" autoPict="0" macro="[0]!StopBA">
                <anchor moveWithCells="1" sizeWithCells="1">
                  <from>
                    <xdr:col>18</xdr:col>
                    <xdr:colOff>9525</xdr:colOff>
                    <xdr:row>29</xdr:row>
                    <xdr:rowOff>19050</xdr:rowOff>
                  </from>
                  <to>
                    <xdr:col>19</xdr:col>
                    <xdr:colOff>0</xdr:colOff>
                    <xdr:row>30</xdr:row>
                    <xdr:rowOff>200025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J61"/>
  <sheetViews>
    <sheetView topLeftCell="A22" zoomScaleNormal="100" workbookViewId="0">
      <selection activeCell="F46" sqref="F46"/>
    </sheetView>
  </sheetViews>
  <sheetFormatPr defaultColWidth="11" defaultRowHeight="15.75" x14ac:dyDescent="0.25"/>
  <cols>
    <col min="1" max="1" width="22.125" customWidth="1"/>
    <col min="2" max="2" width="25" customWidth="1"/>
    <col min="3" max="3" width="18" customWidth="1"/>
    <col min="4" max="4" width="23" customWidth="1"/>
    <col min="5" max="5" width="18.125" customWidth="1"/>
    <col min="6" max="6" width="20.625" customWidth="1"/>
    <col min="7" max="7" width="21.375" customWidth="1"/>
    <col min="8" max="8" width="16.875" customWidth="1"/>
    <col min="9" max="9" width="17.125" customWidth="1"/>
    <col min="10" max="10" width="9.5" customWidth="1"/>
    <col min="11" max="11" width="9" customWidth="1"/>
  </cols>
  <sheetData>
    <row r="1" spans="1:10" s="24" customFormat="1" ht="19.5" thickBot="1" x14ac:dyDescent="0.3">
      <c r="A1" s="342" t="s">
        <v>375</v>
      </c>
      <c r="B1" s="343"/>
      <c r="C1" s="343"/>
      <c r="D1" s="343"/>
      <c r="E1" s="343"/>
      <c r="F1" s="343"/>
      <c r="G1" s="343"/>
      <c r="H1" s="343"/>
      <c r="I1" s="343"/>
      <c r="J1" s="344"/>
    </row>
    <row r="2" spans="1:10" s="24" customFormat="1" ht="19.5" thickBot="1" x14ac:dyDescent="0.3">
      <c r="A2" s="339" t="s">
        <v>376</v>
      </c>
      <c r="B2" s="340"/>
      <c r="C2" s="340"/>
      <c r="D2" s="340"/>
      <c r="E2" s="340"/>
      <c r="F2" s="340"/>
      <c r="G2" s="340"/>
      <c r="H2" s="340"/>
      <c r="I2" s="340"/>
      <c r="J2" s="341"/>
    </row>
    <row r="3" spans="1:10" s="24" customFormat="1" ht="60" x14ac:dyDescent="0.25">
      <c r="A3" s="146" t="s">
        <v>377</v>
      </c>
      <c r="B3" s="139" t="s">
        <v>377</v>
      </c>
      <c r="C3" s="140" t="s">
        <v>378</v>
      </c>
      <c r="D3" s="140" t="s">
        <v>378</v>
      </c>
      <c r="E3" s="141" t="s">
        <v>242</v>
      </c>
      <c r="F3" s="142" t="s">
        <v>481</v>
      </c>
      <c r="G3" s="53" t="s">
        <v>291</v>
      </c>
      <c r="H3" s="143" t="s">
        <v>274</v>
      </c>
      <c r="I3" s="144"/>
      <c r="J3" s="145"/>
    </row>
    <row r="4" spans="1:10" s="24" customFormat="1" ht="30" x14ac:dyDescent="0.25">
      <c r="A4" s="117" t="s">
        <v>379</v>
      </c>
      <c r="B4" s="118" t="s">
        <v>380</v>
      </c>
      <c r="C4" s="119" t="s">
        <v>381</v>
      </c>
      <c r="D4" s="119" t="s">
        <v>382</v>
      </c>
      <c r="E4" s="119" t="s">
        <v>13</v>
      </c>
      <c r="F4" s="119" t="s">
        <v>70</v>
      </c>
      <c r="G4" s="118" t="s">
        <v>210</v>
      </c>
      <c r="H4" s="120" t="s">
        <v>275</v>
      </c>
      <c r="I4" s="196"/>
      <c r="J4" s="197"/>
    </row>
    <row r="5" spans="1:10" s="24" customFormat="1" ht="50.25" customHeight="1" thickBot="1" x14ac:dyDescent="0.3">
      <c r="A5" s="92" t="s">
        <v>383</v>
      </c>
      <c r="B5" s="198" t="s">
        <v>384</v>
      </c>
      <c r="C5" s="198">
        <v>2</v>
      </c>
      <c r="D5" s="198"/>
      <c r="E5" s="198">
        <v>500</v>
      </c>
      <c r="F5" s="198"/>
      <c r="G5" s="234" t="s">
        <v>164</v>
      </c>
      <c r="H5" s="198"/>
      <c r="I5" s="198"/>
      <c r="J5" s="199"/>
    </row>
    <row r="6" spans="1:10" s="24" customFormat="1" ht="19.5" thickBot="1" x14ac:dyDescent="0.3">
      <c r="A6" s="339" t="s">
        <v>385</v>
      </c>
      <c r="B6" s="340"/>
      <c r="C6" s="340"/>
      <c r="D6" s="340"/>
      <c r="E6" s="340"/>
      <c r="F6" s="340"/>
      <c r="G6" s="340"/>
      <c r="H6" s="340"/>
      <c r="I6" s="340"/>
      <c r="J6" s="341"/>
    </row>
    <row r="7" spans="1:10" s="24" customFormat="1" ht="30" x14ac:dyDescent="0.25">
      <c r="A7" s="121" t="s">
        <v>242</v>
      </c>
      <c r="B7" s="116" t="s">
        <v>386</v>
      </c>
      <c r="C7" s="90"/>
      <c r="D7" s="90"/>
      <c r="E7" s="90"/>
      <c r="F7" s="93"/>
      <c r="G7" s="90"/>
      <c r="H7" s="90"/>
      <c r="I7" s="90"/>
      <c r="J7" s="91"/>
    </row>
    <row r="8" spans="1:10" s="24" customFormat="1" ht="30" x14ac:dyDescent="0.25">
      <c r="A8" s="122" t="s">
        <v>145</v>
      </c>
      <c r="B8" s="118" t="s">
        <v>210</v>
      </c>
      <c r="C8" s="94"/>
      <c r="D8" s="94"/>
      <c r="E8" s="94"/>
      <c r="F8" s="94"/>
      <c r="G8" s="95"/>
      <c r="H8" s="95"/>
      <c r="I8" s="95"/>
      <c r="J8" s="96"/>
    </row>
    <row r="9" spans="1:10" s="24" customFormat="1" ht="16.5" thickBot="1" x14ac:dyDescent="0.3">
      <c r="A9" s="97" t="s">
        <v>0</v>
      </c>
      <c r="B9" s="198" t="s">
        <v>196</v>
      </c>
      <c r="C9" s="98"/>
      <c r="D9" s="99"/>
      <c r="E9" s="98"/>
      <c r="F9" s="99"/>
      <c r="G9" s="76"/>
      <c r="H9" s="76"/>
      <c r="I9" s="76"/>
      <c r="J9" s="100"/>
    </row>
    <row r="10" spans="1:10" s="24" customFormat="1" ht="19.5" thickBot="1" x14ac:dyDescent="0.3">
      <c r="A10" s="339" t="s">
        <v>11</v>
      </c>
      <c r="B10" s="340"/>
      <c r="C10" s="340"/>
      <c r="D10" s="340"/>
      <c r="E10" s="340"/>
      <c r="F10" s="340"/>
      <c r="G10" s="340"/>
      <c r="H10" s="340"/>
      <c r="I10" s="340"/>
      <c r="J10" s="341"/>
    </row>
    <row r="11" spans="1:10" s="24" customFormat="1" ht="45" x14ac:dyDescent="0.25">
      <c r="A11" s="123"/>
      <c r="B11" s="114" t="s">
        <v>248</v>
      </c>
      <c r="C11" s="114" t="s">
        <v>230</v>
      </c>
      <c r="D11" s="124" t="s">
        <v>298</v>
      </c>
      <c r="E11" s="114" t="s">
        <v>232</v>
      </c>
      <c r="F11" s="125" t="s">
        <v>293</v>
      </c>
      <c r="G11" s="116" t="s">
        <v>292</v>
      </c>
      <c r="H11" s="116" t="s">
        <v>294</v>
      </c>
      <c r="I11" s="90"/>
      <c r="J11" s="91"/>
    </row>
    <row r="12" spans="1:10" s="24" customFormat="1" ht="40.5" customHeight="1" x14ac:dyDescent="0.25">
      <c r="A12" s="122" t="s">
        <v>475</v>
      </c>
      <c r="B12" s="118" t="s">
        <v>11</v>
      </c>
      <c r="C12" s="126" t="s">
        <v>231</v>
      </c>
      <c r="D12" s="126" t="s">
        <v>146</v>
      </c>
      <c r="E12" s="126" t="s">
        <v>233</v>
      </c>
      <c r="F12" s="126" t="s">
        <v>234</v>
      </c>
      <c r="G12" s="127" t="s">
        <v>235</v>
      </c>
      <c r="H12" s="118" t="s">
        <v>210</v>
      </c>
      <c r="I12" s="101"/>
      <c r="J12" s="102"/>
    </row>
    <row r="13" spans="1:10" s="24" customFormat="1" x14ac:dyDescent="0.25">
      <c r="A13" s="103" t="s">
        <v>12</v>
      </c>
      <c r="B13" s="104" t="s">
        <v>168</v>
      </c>
      <c r="C13" s="104" t="s">
        <v>167</v>
      </c>
      <c r="D13" s="104" t="s">
        <v>253</v>
      </c>
      <c r="E13" s="104">
        <v>488</v>
      </c>
      <c r="F13" s="104" t="s">
        <v>170</v>
      </c>
      <c r="G13" s="104" t="s">
        <v>169</v>
      </c>
      <c r="H13" s="104" t="s">
        <v>168</v>
      </c>
      <c r="I13" s="104"/>
      <c r="J13" s="105"/>
    </row>
    <row r="14" spans="1:10" s="24" customFormat="1" x14ac:dyDescent="0.25">
      <c r="A14" s="103">
        <v>2</v>
      </c>
      <c r="B14" s="104" t="s">
        <v>172</v>
      </c>
      <c r="C14" s="104" t="s">
        <v>171</v>
      </c>
      <c r="D14" s="104" t="s">
        <v>254</v>
      </c>
      <c r="E14" s="104">
        <v>561</v>
      </c>
      <c r="F14" s="104" t="s">
        <v>7</v>
      </c>
      <c r="G14" s="104" t="s">
        <v>10</v>
      </c>
      <c r="H14" s="104" t="s">
        <v>197</v>
      </c>
      <c r="I14" s="104"/>
      <c r="J14" s="105"/>
    </row>
    <row r="15" spans="1:10" s="24" customFormat="1" x14ac:dyDescent="0.25">
      <c r="A15" s="103">
        <v>3</v>
      </c>
      <c r="B15" s="104" t="s">
        <v>174</v>
      </c>
      <c r="C15" s="104" t="s">
        <v>173</v>
      </c>
      <c r="D15" s="104" t="s">
        <v>255</v>
      </c>
      <c r="E15" s="104">
        <v>405</v>
      </c>
      <c r="F15" s="104" t="s">
        <v>8</v>
      </c>
      <c r="G15" s="104" t="s">
        <v>9</v>
      </c>
      <c r="H15" s="104" t="s">
        <v>198</v>
      </c>
      <c r="I15" s="104"/>
      <c r="J15" s="105"/>
    </row>
    <row r="16" spans="1:10" s="24" customFormat="1" ht="16.5" thickBot="1" x14ac:dyDescent="0.3">
      <c r="A16" s="103">
        <v>4</v>
      </c>
      <c r="B16" s="104"/>
      <c r="C16" s="104"/>
      <c r="D16" s="104"/>
      <c r="E16" s="104"/>
      <c r="F16" s="104"/>
      <c r="G16" s="104"/>
      <c r="H16" s="104"/>
      <c r="I16" s="104"/>
      <c r="J16" s="105"/>
    </row>
    <row r="17" spans="1:10" s="24" customFormat="1" ht="19.5" thickBot="1" x14ac:dyDescent="0.3">
      <c r="A17" s="339" t="s">
        <v>477</v>
      </c>
      <c r="B17" s="340"/>
      <c r="C17" s="340"/>
      <c r="D17" s="340"/>
      <c r="E17" s="340"/>
      <c r="F17" s="340"/>
      <c r="G17" s="340"/>
      <c r="H17" s="340"/>
      <c r="I17" s="340"/>
      <c r="J17" s="341"/>
    </row>
    <row r="18" spans="1:10" s="24" customFormat="1" ht="30" x14ac:dyDescent="0.25">
      <c r="A18" s="123"/>
      <c r="B18" s="114" t="s">
        <v>248</v>
      </c>
      <c r="C18" s="114" t="s">
        <v>230</v>
      </c>
      <c r="D18" s="114" t="s">
        <v>232</v>
      </c>
      <c r="E18" s="125" t="s">
        <v>293</v>
      </c>
      <c r="F18" s="116" t="s">
        <v>292</v>
      </c>
      <c r="G18" s="116"/>
      <c r="H18" s="90"/>
      <c r="I18" s="90"/>
      <c r="J18" s="91"/>
    </row>
    <row r="19" spans="1:10" s="24" customFormat="1" ht="30" x14ac:dyDescent="0.25">
      <c r="A19" s="122" t="s">
        <v>474</v>
      </c>
      <c r="B19" s="118" t="s">
        <v>473</v>
      </c>
      <c r="C19" s="126" t="s">
        <v>231</v>
      </c>
      <c r="D19" s="126" t="s">
        <v>476</v>
      </c>
      <c r="E19" s="126" t="s">
        <v>234</v>
      </c>
      <c r="F19" s="127" t="s">
        <v>235</v>
      </c>
      <c r="G19" s="118"/>
      <c r="H19" s="101"/>
      <c r="I19" s="101"/>
      <c r="J19" s="102"/>
    </row>
    <row r="20" spans="1:10" s="24" customFormat="1" ht="19.5" customHeight="1" x14ac:dyDescent="0.25">
      <c r="A20" s="103">
        <v>1</v>
      </c>
      <c r="B20" s="104"/>
      <c r="C20" s="104"/>
      <c r="D20" s="104"/>
      <c r="E20" s="104"/>
      <c r="F20" s="104"/>
      <c r="G20" s="104"/>
      <c r="H20" s="104"/>
      <c r="I20" s="104"/>
      <c r="J20" s="105"/>
    </row>
    <row r="21" spans="1:10" s="24" customFormat="1" ht="18.75" customHeight="1" thickBot="1" x14ac:dyDescent="0.3">
      <c r="A21" s="103"/>
      <c r="B21" s="104"/>
      <c r="C21" s="104"/>
      <c r="D21" s="104"/>
      <c r="E21" s="104"/>
      <c r="F21" s="104"/>
      <c r="G21" s="104"/>
      <c r="H21" s="104"/>
      <c r="I21" s="104"/>
      <c r="J21" s="105"/>
    </row>
    <row r="22" spans="1:10" s="24" customFormat="1" ht="19.5" thickBot="1" x14ac:dyDescent="0.3">
      <c r="A22" s="339" t="s">
        <v>15</v>
      </c>
      <c r="B22" s="340"/>
      <c r="C22" s="340"/>
      <c r="D22" s="340"/>
      <c r="E22" s="340"/>
      <c r="F22" s="340"/>
      <c r="G22" s="340"/>
      <c r="H22" s="340"/>
      <c r="I22" s="340"/>
      <c r="J22" s="341"/>
    </row>
    <row r="23" spans="1:10" s="24" customFormat="1" ht="44.25" customHeight="1" x14ac:dyDescent="0.25">
      <c r="A23" s="113" t="s">
        <v>295</v>
      </c>
      <c r="B23" s="116" t="s">
        <v>478</v>
      </c>
      <c r="C23" s="116" t="s">
        <v>243</v>
      </c>
      <c r="D23" s="116" t="s">
        <v>296</v>
      </c>
      <c r="E23" s="90"/>
      <c r="F23" s="93"/>
      <c r="G23" s="90"/>
      <c r="H23" s="90"/>
      <c r="I23" s="90"/>
      <c r="J23" s="91"/>
    </row>
    <row r="24" spans="1:10" s="24" customFormat="1" ht="30" x14ac:dyDescent="0.25">
      <c r="A24" s="122" t="s">
        <v>14</v>
      </c>
      <c r="B24" s="126" t="s">
        <v>236</v>
      </c>
      <c r="C24" s="126" t="s">
        <v>238</v>
      </c>
      <c r="D24" s="118" t="s">
        <v>210</v>
      </c>
      <c r="E24" s="108"/>
      <c r="F24" s="95"/>
      <c r="G24" s="95"/>
      <c r="H24" s="95"/>
      <c r="I24" s="95"/>
      <c r="J24" s="96"/>
    </row>
    <row r="25" spans="1:10" s="24" customFormat="1" ht="16.5" thickBot="1" x14ac:dyDescent="0.3">
      <c r="A25" s="109">
        <v>3</v>
      </c>
      <c r="B25" s="106" t="s">
        <v>1</v>
      </c>
      <c r="C25" s="106" t="s">
        <v>17</v>
      </c>
      <c r="D25" s="34" t="s">
        <v>199</v>
      </c>
      <c r="E25" s="106"/>
      <c r="F25" s="106"/>
      <c r="G25" s="106"/>
      <c r="H25" s="106"/>
      <c r="I25" s="106"/>
      <c r="J25" s="107"/>
    </row>
    <row r="26" spans="1:10" s="24" customFormat="1" ht="18" customHeight="1" thickBot="1" x14ac:dyDescent="0.3">
      <c r="A26" s="339" t="s">
        <v>479</v>
      </c>
      <c r="B26" s="340"/>
      <c r="C26" s="340"/>
      <c r="D26" s="340"/>
      <c r="E26" s="340"/>
      <c r="F26" s="340"/>
      <c r="G26" s="340"/>
      <c r="H26" s="340"/>
      <c r="I26" s="340"/>
      <c r="J26" s="341"/>
    </row>
    <row r="27" spans="1:10" s="24" customFormat="1" ht="30" x14ac:dyDescent="0.25">
      <c r="A27" s="146" t="s">
        <v>452</v>
      </c>
      <c r="B27" s="139" t="s">
        <v>452</v>
      </c>
      <c r="C27" s="140" t="s">
        <v>378</v>
      </c>
      <c r="D27" s="140" t="s">
        <v>378</v>
      </c>
      <c r="E27" s="141" t="s">
        <v>242</v>
      </c>
      <c r="F27" s="142" t="s">
        <v>480</v>
      </c>
      <c r="G27" s="141" t="s">
        <v>242</v>
      </c>
      <c r="H27" s="144"/>
      <c r="I27" s="144"/>
      <c r="J27" s="145"/>
    </row>
    <row r="28" spans="1:10" s="24" customFormat="1" x14ac:dyDescent="0.25">
      <c r="A28" s="117" t="s">
        <v>379</v>
      </c>
      <c r="B28" s="118" t="s">
        <v>380</v>
      </c>
      <c r="C28" s="119" t="s">
        <v>381</v>
      </c>
      <c r="D28" s="119" t="s">
        <v>382</v>
      </c>
      <c r="E28" s="119" t="s">
        <v>13</v>
      </c>
      <c r="F28" s="119" t="s">
        <v>70</v>
      </c>
      <c r="G28" s="118" t="s">
        <v>210</v>
      </c>
      <c r="H28" s="196"/>
      <c r="I28" s="196"/>
      <c r="J28" s="197"/>
    </row>
    <row r="29" spans="1:10" s="24" customFormat="1" ht="16.5" thickBot="1" x14ac:dyDescent="0.3">
      <c r="A29" s="92"/>
      <c r="B29" s="34"/>
      <c r="C29" s="198"/>
      <c r="D29" s="198"/>
      <c r="E29" s="198"/>
      <c r="F29" s="198"/>
      <c r="G29" s="198"/>
      <c r="H29" s="198"/>
      <c r="I29" s="198"/>
      <c r="J29" s="199"/>
    </row>
    <row r="30" spans="1:10" s="24" customFormat="1" ht="19.5" thickBot="1" x14ac:dyDescent="0.3">
      <c r="A30" s="339" t="s">
        <v>147</v>
      </c>
      <c r="B30" s="340"/>
      <c r="C30" s="340"/>
      <c r="D30" s="340"/>
      <c r="E30" s="340"/>
      <c r="F30" s="340"/>
      <c r="G30" s="340"/>
      <c r="H30" s="340"/>
      <c r="I30" s="340"/>
      <c r="J30" s="341"/>
    </row>
    <row r="31" spans="1:10" s="24" customFormat="1" ht="30" x14ac:dyDescent="0.25">
      <c r="A31" s="146" t="s">
        <v>252</v>
      </c>
      <c r="B31" s="53" t="s">
        <v>328</v>
      </c>
      <c r="C31" s="53" t="s">
        <v>297</v>
      </c>
      <c r="D31" s="53" t="s">
        <v>239</v>
      </c>
      <c r="E31" s="53" t="s">
        <v>328</v>
      </c>
      <c r="F31" s="53" t="s">
        <v>387</v>
      </c>
      <c r="G31" s="139"/>
      <c r="H31" s="140"/>
      <c r="I31" s="53"/>
      <c r="J31" s="200"/>
    </row>
    <row r="32" spans="1:10" s="24" customFormat="1" ht="30" x14ac:dyDescent="0.25">
      <c r="A32" s="201"/>
      <c r="B32" s="129" t="s">
        <v>16</v>
      </c>
      <c r="C32" s="129" t="s">
        <v>237</v>
      </c>
      <c r="D32" s="126" t="s">
        <v>148</v>
      </c>
      <c r="E32" s="126" t="s">
        <v>329</v>
      </c>
      <c r="F32" s="129"/>
      <c r="G32" s="118"/>
      <c r="H32" s="119"/>
      <c r="I32" s="129"/>
      <c r="J32" s="110"/>
    </row>
    <row r="33" spans="1:10" s="24" customFormat="1" ht="16.5" thickBot="1" x14ac:dyDescent="0.3">
      <c r="A33" s="32"/>
      <c r="B33" s="224" t="s">
        <v>489</v>
      </c>
      <c r="C33" s="112"/>
      <c r="D33" s="34"/>
      <c r="E33" s="34" t="s">
        <v>490</v>
      </c>
      <c r="F33" s="111"/>
      <c r="G33" s="34"/>
      <c r="H33" s="198"/>
      <c r="I33" s="111"/>
      <c r="J33" s="107"/>
    </row>
    <row r="34" spans="1:10" s="24" customFormat="1" ht="27.75" customHeight="1" thickBot="1" x14ac:dyDescent="0.3"/>
    <row r="35" spans="1:10" s="24" customFormat="1" ht="18.75" x14ac:dyDescent="0.3">
      <c r="A35" s="330" t="s">
        <v>251</v>
      </c>
      <c r="B35" s="331"/>
      <c r="C35" s="331"/>
      <c r="D35" s="331"/>
      <c r="E35" s="331"/>
      <c r="F35" s="331"/>
      <c r="G35" s="331"/>
      <c r="H35" s="332"/>
    </row>
    <row r="36" spans="1:10" s="24" customFormat="1" x14ac:dyDescent="0.25">
      <c r="A36" s="333" t="s">
        <v>322</v>
      </c>
      <c r="B36" s="334"/>
      <c r="C36" s="334"/>
      <c r="D36" s="334"/>
      <c r="E36" s="334"/>
      <c r="F36" s="334"/>
      <c r="G36" s="334"/>
      <c r="H36" s="335"/>
    </row>
    <row r="37" spans="1:10" s="24" customFormat="1" x14ac:dyDescent="0.25">
      <c r="A37" s="333"/>
      <c r="B37" s="334"/>
      <c r="C37" s="334"/>
      <c r="D37" s="334"/>
      <c r="E37" s="334"/>
      <c r="F37" s="334"/>
      <c r="G37" s="334"/>
      <c r="H37" s="335"/>
    </row>
    <row r="38" spans="1:10" x14ac:dyDescent="0.25">
      <c r="A38" s="333"/>
      <c r="B38" s="334"/>
      <c r="C38" s="334"/>
      <c r="D38" s="334"/>
      <c r="E38" s="334"/>
      <c r="F38" s="334"/>
      <c r="G38" s="334"/>
      <c r="H38" s="335"/>
      <c r="I38" s="24"/>
      <c r="J38" s="24"/>
    </row>
    <row r="39" spans="1:10" ht="16.5" thickBot="1" x14ac:dyDescent="0.3">
      <c r="A39" s="336"/>
      <c r="B39" s="337"/>
      <c r="C39" s="337"/>
      <c r="D39" s="337"/>
      <c r="E39" s="337"/>
      <c r="F39" s="337"/>
      <c r="G39" s="337"/>
      <c r="H39" s="338"/>
      <c r="I39" s="24"/>
      <c r="J39" s="24"/>
    </row>
    <row r="40" spans="1:10" x14ac:dyDescent="0.25">
      <c r="A40" s="24"/>
      <c r="B40" s="24"/>
      <c r="C40" s="24"/>
      <c r="D40" s="24"/>
      <c r="E40" s="24"/>
      <c r="F40" s="24"/>
      <c r="G40" s="24"/>
      <c r="H40" s="24"/>
      <c r="I40" s="24"/>
      <c r="J40" s="24"/>
    </row>
    <row r="41" spans="1:10" ht="21" x14ac:dyDescent="0.25">
      <c r="A41" s="312" t="s">
        <v>277</v>
      </c>
      <c r="B41" s="312"/>
      <c r="C41" s="312"/>
      <c r="D41" s="312"/>
      <c r="E41" s="312"/>
      <c r="F41" s="312"/>
      <c r="G41" s="312"/>
      <c r="H41" s="24"/>
      <c r="I41" s="24"/>
      <c r="J41" s="24"/>
    </row>
    <row r="42" spans="1:10" x14ac:dyDescent="0.25">
      <c r="A42" s="136" t="s">
        <v>284</v>
      </c>
      <c r="B42" s="136" t="s">
        <v>278</v>
      </c>
      <c r="C42" s="136" t="s">
        <v>279</v>
      </c>
      <c r="D42" s="311" t="s">
        <v>280</v>
      </c>
      <c r="E42" s="311"/>
      <c r="F42" s="311"/>
      <c r="G42" s="311"/>
      <c r="H42" s="24"/>
      <c r="I42" s="24"/>
      <c r="J42" s="24"/>
    </row>
    <row r="43" spans="1:10" x14ac:dyDescent="0.25">
      <c r="A43" t="s">
        <v>281</v>
      </c>
      <c r="B43" t="s">
        <v>282</v>
      </c>
      <c r="C43" t="s">
        <v>658</v>
      </c>
      <c r="D43" s="202" t="s">
        <v>657</v>
      </c>
    </row>
    <row r="44" spans="1:10" x14ac:dyDescent="0.25">
      <c r="A44" t="s">
        <v>300</v>
      </c>
      <c r="B44" t="s">
        <v>304</v>
      </c>
      <c r="C44" t="s">
        <v>658</v>
      </c>
      <c r="D44" s="203" t="s">
        <v>301</v>
      </c>
    </row>
    <row r="45" spans="1:10" x14ac:dyDescent="0.25">
      <c r="A45" t="s">
        <v>300</v>
      </c>
      <c r="B45" t="s">
        <v>305</v>
      </c>
      <c r="C45" t="s">
        <v>658</v>
      </c>
      <c r="D45" s="202" t="s">
        <v>302</v>
      </c>
    </row>
    <row r="46" spans="1:10" x14ac:dyDescent="0.25">
      <c r="A46" t="s">
        <v>300</v>
      </c>
      <c r="B46" t="s">
        <v>306</v>
      </c>
      <c r="C46" t="s">
        <v>658</v>
      </c>
      <c r="D46" s="202" t="s">
        <v>317</v>
      </c>
    </row>
    <row r="47" spans="1:10" x14ac:dyDescent="0.25">
      <c r="A47" t="s">
        <v>300</v>
      </c>
      <c r="B47" t="s">
        <v>307</v>
      </c>
      <c r="C47" t="s">
        <v>658</v>
      </c>
      <c r="D47" s="204" t="s">
        <v>303</v>
      </c>
    </row>
    <row r="48" spans="1:10" x14ac:dyDescent="0.25">
      <c r="A48" t="s">
        <v>430</v>
      </c>
      <c r="B48" t="s">
        <v>283</v>
      </c>
      <c r="C48" t="s">
        <v>658</v>
      </c>
      <c r="D48" s="203" t="s">
        <v>431</v>
      </c>
    </row>
    <row r="49" spans="1:4" x14ac:dyDescent="0.25">
      <c r="A49" t="s">
        <v>432</v>
      </c>
      <c r="B49" t="s">
        <v>433</v>
      </c>
      <c r="C49" t="s">
        <v>658</v>
      </c>
      <c r="D49" s="203" t="s">
        <v>434</v>
      </c>
    </row>
    <row r="50" spans="1:4" x14ac:dyDescent="0.25">
      <c r="A50" t="s">
        <v>432</v>
      </c>
      <c r="B50" t="s">
        <v>433</v>
      </c>
      <c r="C50" t="s">
        <v>658</v>
      </c>
      <c r="D50" s="203" t="s">
        <v>435</v>
      </c>
    </row>
    <row r="51" spans="1:4" x14ac:dyDescent="0.25">
      <c r="A51" t="s">
        <v>432</v>
      </c>
      <c r="B51" t="s">
        <v>433</v>
      </c>
      <c r="C51" t="s">
        <v>658</v>
      </c>
      <c r="D51" s="203" t="s">
        <v>436</v>
      </c>
    </row>
    <row r="52" spans="1:4" x14ac:dyDescent="0.25">
      <c r="A52" t="s">
        <v>430</v>
      </c>
      <c r="B52" t="s">
        <v>561</v>
      </c>
      <c r="C52" t="s">
        <v>658</v>
      </c>
      <c r="D52" s="202" t="s">
        <v>562</v>
      </c>
    </row>
    <row r="53" spans="1:4" x14ac:dyDescent="0.25">
      <c r="A53" t="s">
        <v>437</v>
      </c>
      <c r="B53" t="s">
        <v>438</v>
      </c>
      <c r="C53" t="s">
        <v>658</v>
      </c>
      <c r="D53" s="202" t="s">
        <v>439</v>
      </c>
    </row>
    <row r="54" spans="1:4" x14ac:dyDescent="0.25">
      <c r="A54" t="s">
        <v>437</v>
      </c>
      <c r="B54" t="s">
        <v>440</v>
      </c>
      <c r="C54" t="s">
        <v>658</v>
      </c>
      <c r="D54" s="202" t="s">
        <v>441</v>
      </c>
    </row>
    <row r="55" spans="1:4" x14ac:dyDescent="0.25">
      <c r="A55" t="s">
        <v>437</v>
      </c>
      <c r="B55" t="s">
        <v>442</v>
      </c>
      <c r="C55" t="s">
        <v>658</v>
      </c>
      <c r="D55" s="203" t="s">
        <v>443</v>
      </c>
    </row>
    <row r="56" spans="1:4" x14ac:dyDescent="0.25">
      <c r="A56" t="s">
        <v>437</v>
      </c>
      <c r="B56" t="s">
        <v>444</v>
      </c>
      <c r="C56" t="s">
        <v>658</v>
      </c>
      <c r="D56" s="203" t="s">
        <v>445</v>
      </c>
    </row>
    <row r="57" spans="1:4" x14ac:dyDescent="0.25">
      <c r="A57" t="s">
        <v>437</v>
      </c>
      <c r="B57" t="s">
        <v>446</v>
      </c>
      <c r="C57" t="s">
        <v>658</v>
      </c>
      <c r="D57" s="202" t="s">
        <v>447</v>
      </c>
    </row>
    <row r="58" spans="1:4" x14ac:dyDescent="0.25">
      <c r="A58" t="s">
        <v>437</v>
      </c>
      <c r="B58" t="s">
        <v>448</v>
      </c>
      <c r="C58" t="s">
        <v>658</v>
      </c>
      <c r="D58" s="203" t="s">
        <v>449</v>
      </c>
    </row>
    <row r="59" spans="1:4" x14ac:dyDescent="0.25">
      <c r="A59" t="s">
        <v>437</v>
      </c>
      <c r="B59" t="s">
        <v>450</v>
      </c>
      <c r="C59" t="s">
        <v>658</v>
      </c>
      <c r="D59" s="202" t="s">
        <v>451</v>
      </c>
    </row>
    <row r="60" spans="1:4" x14ac:dyDescent="0.25">
      <c r="A60" t="s">
        <v>563</v>
      </c>
      <c r="B60" t="s">
        <v>564</v>
      </c>
      <c r="C60" t="s">
        <v>658</v>
      </c>
      <c r="D60" s="203" t="s">
        <v>565</v>
      </c>
    </row>
    <row r="61" spans="1:4" x14ac:dyDescent="0.25">
      <c r="D61" s="235"/>
    </row>
  </sheetData>
  <sheetProtection formatCells="0" formatColumns="0" formatRows="0" insertColumns="0" insertRows="0" insertHyperlinks="0" deleteColumns="0" deleteRows="0" sort="0" autoFilter="0" pivotTables="0"/>
  <mergeCells count="12">
    <mergeCell ref="D42:G42"/>
    <mergeCell ref="A35:H35"/>
    <mergeCell ref="A36:H39"/>
    <mergeCell ref="A30:J30"/>
    <mergeCell ref="A1:J1"/>
    <mergeCell ref="A2:J2"/>
    <mergeCell ref="A6:J6"/>
    <mergeCell ref="A10:J10"/>
    <mergeCell ref="A22:J22"/>
    <mergeCell ref="A41:G41"/>
    <mergeCell ref="A17:J17"/>
    <mergeCell ref="A26:J2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akeCM">
                <anchor moveWithCells="1" sizeWithCells="1">
                  <from>
                    <xdr:col>0</xdr:col>
                    <xdr:colOff>9525</xdr:colOff>
                    <xdr:row>31</xdr:row>
                    <xdr:rowOff>9525</xdr:rowOff>
                  </from>
                  <to>
                    <xdr:col>0</xdr:col>
                    <xdr:colOff>1666875</xdr:colOff>
                    <xdr:row>32</xdr:row>
                    <xdr:rowOff>190500</xdr:rowOff>
                  </to>
                </anchor>
              </controlPr>
            </control>
          </mc:Choice>
        </mc:AlternateContent>
        <mc:AlternateContent xmlns:mc="http://schemas.openxmlformats.org/markup-compatibility/2006">
          <mc:Choice Requires="x14">
            <control shapeId="1033" r:id="rId5" name="Button 9">
              <controlPr defaultSize="0" print="0" autoFill="0" autoPict="0" macro="[0]!StopCM">
                <anchor moveWithCells="1" sizeWithCells="1">
                  <from>
                    <xdr:col>5</xdr:col>
                    <xdr:colOff>9525</xdr:colOff>
                    <xdr:row>31</xdr:row>
                    <xdr:rowOff>19050</xdr:rowOff>
                  </from>
                  <to>
                    <xdr:col>6</xdr:col>
                    <xdr:colOff>0</xdr:colOff>
                    <xdr:row>32</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Q87"/>
  <sheetViews>
    <sheetView topLeftCell="A19" zoomScale="82" zoomScaleNormal="82" workbookViewId="0">
      <selection activeCell="J30" sqref="J30"/>
    </sheetView>
  </sheetViews>
  <sheetFormatPr defaultColWidth="8.875" defaultRowHeight="15.75" x14ac:dyDescent="0.25"/>
  <cols>
    <col min="1" max="1" width="21.625" customWidth="1"/>
    <col min="2" max="2" width="23.875" customWidth="1"/>
    <col min="3" max="3" width="17.5" customWidth="1"/>
    <col min="4" max="4" width="12.375" customWidth="1"/>
    <col min="5" max="5" width="15" customWidth="1"/>
    <col min="6" max="6" width="13" customWidth="1"/>
    <col min="7" max="7" width="16.125" customWidth="1"/>
    <col min="8" max="8" width="15.125" customWidth="1"/>
    <col min="9" max="9" width="14.625" customWidth="1"/>
    <col min="10" max="10" width="16.5" customWidth="1"/>
    <col min="11" max="11" width="15.75" customWidth="1"/>
    <col min="12" max="12" width="13.125" customWidth="1"/>
    <col min="13" max="13" width="17.5" customWidth="1"/>
    <col min="14" max="14" width="19.125" customWidth="1"/>
    <col min="15" max="15" width="16.125" customWidth="1"/>
    <col min="16" max="16" width="11.875" customWidth="1"/>
    <col min="17" max="17" width="12.125" customWidth="1"/>
  </cols>
  <sheetData>
    <row r="1" spans="1:17" s="35" customFormat="1" ht="18.75" x14ac:dyDescent="0.3">
      <c r="A1" s="349" t="s">
        <v>362</v>
      </c>
      <c r="B1" s="349"/>
      <c r="C1" s="349"/>
      <c r="D1" s="349"/>
      <c r="E1" s="349"/>
      <c r="F1" s="349"/>
      <c r="G1" s="349"/>
      <c r="H1" s="349"/>
      <c r="I1" s="349"/>
      <c r="J1" s="349"/>
      <c r="K1" s="349"/>
      <c r="L1" s="349"/>
      <c r="M1" s="349"/>
      <c r="N1" s="349"/>
      <c r="O1" s="349"/>
      <c r="P1" s="36"/>
      <c r="Q1" s="36"/>
    </row>
    <row r="2" spans="1:17" s="35" customFormat="1" ht="21.75" customHeight="1" x14ac:dyDescent="0.25">
      <c r="A2" s="360" t="s">
        <v>250</v>
      </c>
      <c r="B2" s="361"/>
      <c r="C2" s="361"/>
      <c r="D2" s="361"/>
      <c r="E2" s="361"/>
      <c r="F2" s="362"/>
      <c r="G2" s="350" t="s">
        <v>220</v>
      </c>
      <c r="H2" s="350"/>
      <c r="I2" s="350"/>
      <c r="J2" s="350"/>
      <c r="K2" s="350"/>
      <c r="L2" s="350"/>
      <c r="M2" s="356" t="s">
        <v>266</v>
      </c>
      <c r="N2" s="356"/>
      <c r="O2" s="356"/>
      <c r="P2" s="37"/>
      <c r="Q2" s="37"/>
    </row>
    <row r="3" spans="1:17" s="35" customFormat="1" ht="72" customHeight="1" x14ac:dyDescent="0.25">
      <c r="A3" s="357" t="s">
        <v>373</v>
      </c>
      <c r="B3" s="358"/>
      <c r="C3" s="358"/>
      <c r="D3" s="358"/>
      <c r="E3" s="358"/>
      <c r="F3" s="359"/>
      <c r="G3" s="352" t="s">
        <v>272</v>
      </c>
      <c r="H3" s="352"/>
      <c r="I3" s="352"/>
      <c r="J3" s="352"/>
      <c r="K3" s="352"/>
      <c r="L3" s="352"/>
      <c r="M3" s="130" t="s">
        <v>270</v>
      </c>
      <c r="N3" s="130" t="s">
        <v>328</v>
      </c>
      <c r="O3" s="130" t="s">
        <v>328</v>
      </c>
      <c r="P3" s="38"/>
    </row>
    <row r="4" spans="1:17" s="35" customFormat="1" x14ac:dyDescent="0.25">
      <c r="A4" s="353" t="s">
        <v>370</v>
      </c>
      <c r="B4" s="354"/>
      <c r="C4" s="354"/>
      <c r="D4" s="354"/>
      <c r="E4" s="354"/>
      <c r="F4" s="355"/>
      <c r="G4" s="351" t="s">
        <v>221</v>
      </c>
      <c r="H4" s="351"/>
      <c r="I4" s="351"/>
      <c r="J4" s="351" t="s">
        <v>273</v>
      </c>
      <c r="K4" s="351"/>
      <c r="L4" s="351"/>
      <c r="M4" s="131" t="s">
        <v>148</v>
      </c>
      <c r="N4" s="131" t="s">
        <v>329</v>
      </c>
      <c r="O4" s="131" t="s">
        <v>16</v>
      </c>
    </row>
    <row r="5" spans="1:17" s="35" customFormat="1" x14ac:dyDescent="0.25">
      <c r="A5" s="346"/>
      <c r="B5" s="347"/>
      <c r="C5" s="347"/>
      <c r="D5" s="347"/>
      <c r="E5" s="347"/>
      <c r="F5" s="348"/>
      <c r="G5" s="345" t="s">
        <v>249</v>
      </c>
      <c r="H5" s="345"/>
      <c r="I5" s="345"/>
      <c r="J5" s="345" t="s">
        <v>263</v>
      </c>
      <c r="K5" s="345"/>
      <c r="L5" s="345"/>
      <c r="M5" s="52"/>
      <c r="N5" s="52" t="s">
        <v>333</v>
      </c>
      <c r="O5" s="39" t="s">
        <v>335</v>
      </c>
    </row>
    <row r="6" spans="1:17" s="35" customFormat="1" x14ac:dyDescent="0.25">
      <c r="A6" s="346" t="s">
        <v>371</v>
      </c>
      <c r="B6" s="347"/>
      <c r="C6" s="347"/>
      <c r="D6" s="347"/>
      <c r="E6" s="347"/>
      <c r="F6" s="348"/>
      <c r="G6" s="345" t="s">
        <v>256</v>
      </c>
      <c r="H6" s="345"/>
      <c r="I6" s="345"/>
      <c r="J6" s="345"/>
      <c r="K6" s="345"/>
      <c r="L6" s="345"/>
      <c r="M6" s="52"/>
      <c r="N6" s="52" t="s">
        <v>334</v>
      </c>
      <c r="O6" s="39" t="s">
        <v>336</v>
      </c>
    </row>
    <row r="7" spans="1:17" s="35" customFormat="1" x14ac:dyDescent="0.25">
      <c r="A7" s="346" t="s">
        <v>372</v>
      </c>
      <c r="B7" s="347"/>
      <c r="C7" s="347"/>
      <c r="D7" s="347"/>
      <c r="E7" s="347"/>
      <c r="F7" s="348"/>
      <c r="G7" s="345"/>
      <c r="H7" s="345"/>
      <c r="I7" s="345"/>
      <c r="J7" s="345"/>
      <c r="K7" s="345"/>
      <c r="L7" s="345"/>
      <c r="M7" s="52"/>
      <c r="N7" s="52"/>
      <c r="O7" s="40"/>
    </row>
    <row r="8" spans="1:17" s="35" customFormat="1" x14ac:dyDescent="0.25">
      <c r="A8" s="346"/>
      <c r="B8" s="347"/>
      <c r="C8" s="347"/>
      <c r="D8" s="347"/>
      <c r="E8" s="347"/>
      <c r="F8" s="348"/>
      <c r="G8" s="345"/>
      <c r="H8" s="345"/>
      <c r="I8" s="345"/>
      <c r="J8" s="345"/>
      <c r="K8" s="345"/>
      <c r="L8" s="345"/>
      <c r="M8" s="52"/>
      <c r="N8" s="52"/>
      <c r="O8" s="40"/>
    </row>
    <row r="9" spans="1:17" s="35" customFormat="1" ht="16.5" thickBot="1" x14ac:dyDescent="0.3"/>
    <row r="10" spans="1:17" s="35" customFormat="1" ht="34.5" customHeight="1" x14ac:dyDescent="0.25">
      <c r="A10" s="113" t="s">
        <v>252</v>
      </c>
      <c r="B10" s="116" t="s">
        <v>299</v>
      </c>
      <c r="C10" s="116" t="s">
        <v>328</v>
      </c>
      <c r="D10" s="115" t="s">
        <v>242</v>
      </c>
      <c r="E10" s="115" t="s">
        <v>242</v>
      </c>
      <c r="F10" s="115" t="s">
        <v>242</v>
      </c>
      <c r="G10" s="115" t="s">
        <v>242</v>
      </c>
      <c r="H10" s="116" t="s">
        <v>247</v>
      </c>
      <c r="I10" s="116" t="s">
        <v>247</v>
      </c>
      <c r="J10" s="116" t="s">
        <v>247</v>
      </c>
      <c r="K10" s="132" t="s">
        <v>387</v>
      </c>
    </row>
    <row r="11" spans="1:17" s="35" customFormat="1" ht="30" x14ac:dyDescent="0.25">
      <c r="A11" s="128"/>
      <c r="B11" s="129" t="s">
        <v>225</v>
      </c>
      <c r="C11" s="126" t="s">
        <v>327</v>
      </c>
      <c r="D11" s="129" t="s">
        <v>90</v>
      </c>
      <c r="E11" s="129" t="s">
        <v>507</v>
      </c>
      <c r="F11" s="129" t="s">
        <v>91</v>
      </c>
      <c r="G11" s="129" t="s">
        <v>92</v>
      </c>
      <c r="H11" s="129" t="s">
        <v>227</v>
      </c>
      <c r="I11" s="129" t="s">
        <v>228</v>
      </c>
      <c r="J11" s="129" t="s">
        <v>229</v>
      </c>
      <c r="K11" s="211"/>
      <c r="L11" s="41"/>
      <c r="M11" s="41"/>
    </row>
    <row r="12" spans="1:17" s="35" customFormat="1" ht="16.5" thickBot="1" x14ac:dyDescent="0.3">
      <c r="A12" s="32"/>
      <c r="B12" s="33"/>
      <c r="C12" s="195"/>
      <c r="D12" s="34">
        <v>100</v>
      </c>
      <c r="E12" s="34"/>
      <c r="F12" s="34">
        <v>0</v>
      </c>
      <c r="G12" s="34"/>
      <c r="H12" s="34">
        <v>4</v>
      </c>
      <c r="I12" s="34">
        <v>10</v>
      </c>
      <c r="J12" s="34">
        <v>10</v>
      </c>
      <c r="K12" s="212"/>
    </row>
    <row r="13" spans="1:17" s="35" customFormat="1" ht="16.5" thickBot="1" x14ac:dyDescent="0.3"/>
    <row r="14" spans="1:17" s="35" customFormat="1" ht="18.75" x14ac:dyDescent="0.3">
      <c r="A14" s="330" t="s">
        <v>251</v>
      </c>
      <c r="B14" s="331"/>
      <c r="C14" s="331"/>
      <c r="D14" s="331"/>
      <c r="E14" s="331"/>
      <c r="F14" s="331"/>
      <c r="G14" s="331"/>
      <c r="H14" s="332"/>
    </row>
    <row r="15" spans="1:17" s="35" customFormat="1" x14ac:dyDescent="0.25">
      <c r="A15" s="333" t="s">
        <v>324</v>
      </c>
      <c r="B15" s="334"/>
      <c r="C15" s="334"/>
      <c r="D15" s="334"/>
      <c r="E15" s="334"/>
      <c r="F15" s="334"/>
      <c r="G15" s="334"/>
      <c r="H15" s="335"/>
    </row>
    <row r="16" spans="1:17" s="35" customFormat="1" x14ac:dyDescent="0.25">
      <c r="A16" s="333"/>
      <c r="B16" s="334"/>
      <c r="C16" s="334"/>
      <c r="D16" s="334"/>
      <c r="E16" s="334"/>
      <c r="F16" s="334"/>
      <c r="G16" s="334"/>
      <c r="H16" s="335"/>
    </row>
    <row r="17" spans="1:8" s="35" customFormat="1" x14ac:dyDescent="0.25">
      <c r="A17" s="333"/>
      <c r="B17" s="334"/>
      <c r="C17" s="334"/>
      <c r="D17" s="334"/>
      <c r="E17" s="334"/>
      <c r="F17" s="334"/>
      <c r="G17" s="334"/>
      <c r="H17" s="335"/>
    </row>
    <row r="18" spans="1:8" s="35" customFormat="1" ht="16.5" thickBot="1" x14ac:dyDescent="0.3">
      <c r="A18" s="336"/>
      <c r="B18" s="337"/>
      <c r="C18" s="337"/>
      <c r="D18" s="337"/>
      <c r="E18" s="337"/>
      <c r="F18" s="337"/>
      <c r="G18" s="337"/>
      <c r="H18" s="338"/>
    </row>
    <row r="19" spans="1:8" s="35" customFormat="1" ht="33" customHeight="1" x14ac:dyDescent="0.25"/>
    <row r="20" spans="1:8" s="35" customFormat="1" ht="21" x14ac:dyDescent="0.25">
      <c r="A20" s="312" t="s">
        <v>277</v>
      </c>
      <c r="B20" s="312"/>
      <c r="C20" s="312"/>
      <c r="D20" s="312"/>
      <c r="E20" s="312"/>
      <c r="F20" s="312"/>
      <c r="G20" s="312"/>
    </row>
    <row r="21" spans="1:8" s="35" customFormat="1" x14ac:dyDescent="0.25">
      <c r="A21" s="51" t="s">
        <v>284</v>
      </c>
      <c r="B21" s="51" t="s">
        <v>278</v>
      </c>
      <c r="C21" s="51" t="s">
        <v>279</v>
      </c>
      <c r="D21" s="311" t="s">
        <v>280</v>
      </c>
      <c r="E21" s="311"/>
      <c r="F21" s="311"/>
      <c r="G21" s="311"/>
    </row>
    <row r="22" spans="1:8" x14ac:dyDescent="0.25">
      <c r="A22" t="s">
        <v>281</v>
      </c>
      <c r="B22" t="s">
        <v>282</v>
      </c>
      <c r="C22" t="s">
        <v>692</v>
      </c>
      <c r="D22" s="202" t="s">
        <v>657</v>
      </c>
    </row>
    <row r="23" spans="1:8" x14ac:dyDescent="0.25">
      <c r="A23" t="s">
        <v>300</v>
      </c>
      <c r="B23" t="s">
        <v>304</v>
      </c>
      <c r="C23" t="s">
        <v>692</v>
      </c>
      <c r="D23" s="203" t="s">
        <v>301</v>
      </c>
    </row>
    <row r="24" spans="1:8" x14ac:dyDescent="0.25">
      <c r="A24" t="s">
        <v>300</v>
      </c>
      <c r="B24" t="s">
        <v>305</v>
      </c>
      <c r="C24" t="s">
        <v>692</v>
      </c>
      <c r="D24" s="202" t="s">
        <v>302</v>
      </c>
    </row>
    <row r="25" spans="1:8" x14ac:dyDescent="0.25">
      <c r="A25" t="s">
        <v>300</v>
      </c>
      <c r="B25" t="s">
        <v>306</v>
      </c>
      <c r="C25" t="s">
        <v>692</v>
      </c>
      <c r="D25" s="202" t="s">
        <v>317</v>
      </c>
    </row>
    <row r="26" spans="1:8" x14ac:dyDescent="0.25">
      <c r="A26" t="s">
        <v>300</v>
      </c>
      <c r="B26" t="s">
        <v>307</v>
      </c>
      <c r="C26" t="s">
        <v>692</v>
      </c>
      <c r="D26" s="204" t="s">
        <v>303</v>
      </c>
    </row>
    <row r="27" spans="1:8" x14ac:dyDescent="0.25">
      <c r="A27" t="s">
        <v>391</v>
      </c>
      <c r="B27" t="s">
        <v>283</v>
      </c>
      <c r="C27" t="s">
        <v>692</v>
      </c>
      <c r="D27" s="203" t="s">
        <v>392</v>
      </c>
    </row>
    <row r="28" spans="1:8" x14ac:dyDescent="0.25">
      <c r="A28" t="s">
        <v>391</v>
      </c>
      <c r="B28" t="s">
        <v>283</v>
      </c>
      <c r="C28" t="s">
        <v>692</v>
      </c>
      <c r="D28" s="203" t="s">
        <v>388</v>
      </c>
    </row>
    <row r="29" spans="1:8" x14ac:dyDescent="0.25">
      <c r="A29" t="s">
        <v>391</v>
      </c>
      <c r="B29" t="s">
        <v>283</v>
      </c>
      <c r="C29" t="s">
        <v>692</v>
      </c>
      <c r="D29" s="203" t="s">
        <v>393</v>
      </c>
    </row>
    <row r="30" spans="1:8" x14ac:dyDescent="0.25">
      <c r="A30" t="s">
        <v>391</v>
      </c>
      <c r="B30" t="s">
        <v>283</v>
      </c>
      <c r="C30" t="s">
        <v>692</v>
      </c>
      <c r="D30" s="203" t="s">
        <v>394</v>
      </c>
    </row>
    <row r="31" spans="1:8" x14ac:dyDescent="0.25">
      <c r="A31" t="s">
        <v>391</v>
      </c>
      <c r="B31" t="s">
        <v>283</v>
      </c>
      <c r="C31" t="s">
        <v>692</v>
      </c>
      <c r="D31" s="203" t="s">
        <v>395</v>
      </c>
    </row>
    <row r="32" spans="1:8" x14ac:dyDescent="0.25">
      <c r="A32" t="s">
        <v>391</v>
      </c>
      <c r="B32" t="s">
        <v>308</v>
      </c>
      <c r="C32" t="s">
        <v>692</v>
      </c>
      <c r="D32" s="203" t="s">
        <v>515</v>
      </c>
    </row>
    <row r="33" spans="1:4" x14ac:dyDescent="0.25">
      <c r="A33" t="s">
        <v>391</v>
      </c>
      <c r="B33" t="s">
        <v>308</v>
      </c>
      <c r="C33" t="s">
        <v>692</v>
      </c>
      <c r="D33" s="203" t="s">
        <v>396</v>
      </c>
    </row>
    <row r="34" spans="1:4" x14ac:dyDescent="0.25">
      <c r="A34" t="s">
        <v>566</v>
      </c>
      <c r="B34" t="s">
        <v>567</v>
      </c>
      <c r="C34" t="s">
        <v>692</v>
      </c>
      <c r="D34" s="203" t="s">
        <v>568</v>
      </c>
    </row>
    <row r="35" spans="1:4" x14ac:dyDescent="0.25">
      <c r="A35" t="s">
        <v>566</v>
      </c>
      <c r="B35" t="s">
        <v>567</v>
      </c>
      <c r="C35" t="s">
        <v>692</v>
      </c>
      <c r="D35" s="203" t="s">
        <v>569</v>
      </c>
    </row>
    <row r="36" spans="1:4" x14ac:dyDescent="0.25">
      <c r="A36" t="s">
        <v>566</v>
      </c>
      <c r="B36" t="s">
        <v>567</v>
      </c>
      <c r="C36" t="s">
        <v>692</v>
      </c>
      <c r="D36" s="203" t="s">
        <v>570</v>
      </c>
    </row>
    <row r="37" spans="1:4" x14ac:dyDescent="0.25">
      <c r="A37" t="s">
        <v>566</v>
      </c>
      <c r="B37" t="s">
        <v>567</v>
      </c>
      <c r="C37" t="s">
        <v>692</v>
      </c>
      <c r="D37" s="203" t="s">
        <v>571</v>
      </c>
    </row>
    <row r="38" spans="1:4" x14ac:dyDescent="0.25">
      <c r="A38" t="s">
        <v>566</v>
      </c>
      <c r="B38" t="s">
        <v>567</v>
      </c>
      <c r="C38" t="s">
        <v>692</v>
      </c>
      <c r="D38" s="203" t="s">
        <v>578</v>
      </c>
    </row>
    <row r="39" spans="1:4" x14ac:dyDescent="0.25">
      <c r="A39" t="s">
        <v>566</v>
      </c>
      <c r="B39" t="s">
        <v>567</v>
      </c>
      <c r="C39" t="s">
        <v>692</v>
      </c>
      <c r="D39" s="203" t="s">
        <v>579</v>
      </c>
    </row>
    <row r="40" spans="1:4" x14ac:dyDescent="0.25">
      <c r="A40" t="s">
        <v>566</v>
      </c>
      <c r="B40" t="s">
        <v>567</v>
      </c>
      <c r="C40" t="s">
        <v>692</v>
      </c>
      <c r="D40" s="203" t="s">
        <v>580</v>
      </c>
    </row>
    <row r="41" spans="1:4" x14ac:dyDescent="0.25">
      <c r="A41" t="s">
        <v>566</v>
      </c>
      <c r="B41" t="s">
        <v>567</v>
      </c>
      <c r="C41" t="s">
        <v>692</v>
      </c>
      <c r="D41" s="203" t="s">
        <v>581</v>
      </c>
    </row>
    <row r="42" spans="1:4" x14ac:dyDescent="0.25">
      <c r="A42" t="s">
        <v>566</v>
      </c>
      <c r="B42" t="s">
        <v>567</v>
      </c>
      <c r="C42" t="s">
        <v>692</v>
      </c>
      <c r="D42" s="203" t="s">
        <v>573</v>
      </c>
    </row>
    <row r="43" spans="1:4" x14ac:dyDescent="0.25">
      <c r="A43" t="s">
        <v>566</v>
      </c>
      <c r="B43" t="s">
        <v>567</v>
      </c>
      <c r="C43" t="s">
        <v>692</v>
      </c>
      <c r="D43" s="203" t="s">
        <v>574</v>
      </c>
    </row>
    <row r="44" spans="1:4" x14ac:dyDescent="0.25">
      <c r="A44" t="s">
        <v>566</v>
      </c>
      <c r="B44" t="s">
        <v>567</v>
      </c>
      <c r="C44" t="s">
        <v>692</v>
      </c>
      <c r="D44" s="203" t="s">
        <v>575</v>
      </c>
    </row>
    <row r="45" spans="1:4" x14ac:dyDescent="0.25">
      <c r="A45" t="s">
        <v>566</v>
      </c>
      <c r="B45" t="s">
        <v>567</v>
      </c>
      <c r="C45" t="s">
        <v>692</v>
      </c>
      <c r="D45" s="203" t="s">
        <v>576</v>
      </c>
    </row>
    <row r="46" spans="1:4" x14ac:dyDescent="0.25">
      <c r="A46" t="s">
        <v>331</v>
      </c>
      <c r="B46" t="s">
        <v>332</v>
      </c>
      <c r="C46" t="s">
        <v>692</v>
      </c>
      <c r="D46" s="202" t="s">
        <v>397</v>
      </c>
    </row>
    <row r="47" spans="1:4" x14ac:dyDescent="0.25">
      <c r="A47" t="s">
        <v>331</v>
      </c>
      <c r="B47" t="s">
        <v>332</v>
      </c>
      <c r="C47" t="s">
        <v>692</v>
      </c>
      <c r="D47" s="202" t="s">
        <v>398</v>
      </c>
    </row>
    <row r="48" spans="1:4" x14ac:dyDescent="0.25">
      <c r="A48" t="s">
        <v>331</v>
      </c>
      <c r="B48" t="s">
        <v>332</v>
      </c>
      <c r="C48" t="s">
        <v>692</v>
      </c>
      <c r="D48" s="202" t="s">
        <v>399</v>
      </c>
    </row>
    <row r="49" spans="1:4" x14ac:dyDescent="0.25">
      <c r="A49" t="s">
        <v>331</v>
      </c>
      <c r="B49" t="s">
        <v>332</v>
      </c>
      <c r="C49" t="s">
        <v>692</v>
      </c>
      <c r="D49" s="202" t="s">
        <v>400</v>
      </c>
    </row>
    <row r="50" spans="1:4" x14ac:dyDescent="0.25">
      <c r="A50" t="s">
        <v>331</v>
      </c>
      <c r="B50" t="s">
        <v>332</v>
      </c>
      <c r="C50" t="s">
        <v>692</v>
      </c>
      <c r="D50" s="202" t="s">
        <v>401</v>
      </c>
    </row>
    <row r="51" spans="1:4" x14ac:dyDescent="0.25">
      <c r="A51" t="s">
        <v>331</v>
      </c>
      <c r="B51" t="s">
        <v>332</v>
      </c>
      <c r="C51" t="s">
        <v>692</v>
      </c>
      <c r="D51" s="202" t="s">
        <v>402</v>
      </c>
    </row>
    <row r="52" spans="1:4" x14ac:dyDescent="0.25">
      <c r="A52" t="s">
        <v>331</v>
      </c>
      <c r="B52" t="s">
        <v>332</v>
      </c>
      <c r="C52" t="s">
        <v>692</v>
      </c>
      <c r="D52" s="202" t="s">
        <v>403</v>
      </c>
    </row>
    <row r="53" spans="1:4" x14ac:dyDescent="0.25">
      <c r="A53" t="s">
        <v>331</v>
      </c>
      <c r="B53" t="s">
        <v>332</v>
      </c>
      <c r="C53" t="s">
        <v>692</v>
      </c>
      <c r="D53" s="202" t="s">
        <v>404</v>
      </c>
    </row>
    <row r="54" spans="1:4" x14ac:dyDescent="0.25">
      <c r="A54" t="s">
        <v>331</v>
      </c>
      <c r="B54" t="s">
        <v>332</v>
      </c>
      <c r="C54" t="s">
        <v>692</v>
      </c>
      <c r="D54" s="202" t="s">
        <v>405</v>
      </c>
    </row>
    <row r="55" spans="1:4" x14ac:dyDescent="0.25">
      <c r="A55" t="s">
        <v>331</v>
      </c>
      <c r="B55" t="s">
        <v>332</v>
      </c>
      <c r="C55" t="s">
        <v>692</v>
      </c>
      <c r="D55" s="202" t="s">
        <v>404</v>
      </c>
    </row>
    <row r="56" spans="1:4" x14ac:dyDescent="0.25">
      <c r="A56" t="s">
        <v>331</v>
      </c>
      <c r="B56" t="s">
        <v>332</v>
      </c>
      <c r="C56" t="s">
        <v>692</v>
      </c>
      <c r="D56" s="202" t="s">
        <v>406</v>
      </c>
    </row>
    <row r="57" spans="1:4" x14ac:dyDescent="0.25">
      <c r="A57" t="s">
        <v>331</v>
      </c>
      <c r="B57" t="s">
        <v>332</v>
      </c>
      <c r="C57" t="s">
        <v>692</v>
      </c>
      <c r="D57" s="202" t="s">
        <v>407</v>
      </c>
    </row>
    <row r="58" spans="1:4" x14ac:dyDescent="0.25">
      <c r="A58" t="s">
        <v>331</v>
      </c>
      <c r="B58" t="s">
        <v>332</v>
      </c>
      <c r="C58" t="s">
        <v>692</v>
      </c>
      <c r="D58" s="202" t="s">
        <v>408</v>
      </c>
    </row>
    <row r="59" spans="1:4" x14ac:dyDescent="0.25">
      <c r="A59" t="s">
        <v>331</v>
      </c>
      <c r="B59" t="s">
        <v>332</v>
      </c>
      <c r="C59" t="s">
        <v>692</v>
      </c>
      <c r="D59" s="202" t="s">
        <v>409</v>
      </c>
    </row>
    <row r="60" spans="1:4" x14ac:dyDescent="0.25">
      <c r="A60" t="s">
        <v>331</v>
      </c>
      <c r="B60" t="s">
        <v>332</v>
      </c>
      <c r="C60" t="s">
        <v>692</v>
      </c>
      <c r="D60" s="202" t="s">
        <v>410</v>
      </c>
    </row>
    <row r="61" spans="1:4" x14ac:dyDescent="0.25">
      <c r="A61" t="s">
        <v>331</v>
      </c>
      <c r="B61" t="s">
        <v>332</v>
      </c>
      <c r="C61" t="s">
        <v>692</v>
      </c>
      <c r="D61" s="202" t="s">
        <v>411</v>
      </c>
    </row>
    <row r="62" spans="1:4" x14ac:dyDescent="0.25">
      <c r="A62" t="s">
        <v>331</v>
      </c>
      <c r="B62" t="s">
        <v>332</v>
      </c>
      <c r="C62" t="s">
        <v>692</v>
      </c>
      <c r="D62" s="202" t="s">
        <v>412</v>
      </c>
    </row>
    <row r="63" spans="1:4" x14ac:dyDescent="0.25">
      <c r="A63" t="s">
        <v>391</v>
      </c>
      <c r="B63" t="s">
        <v>308</v>
      </c>
      <c r="C63" t="s">
        <v>692</v>
      </c>
      <c r="D63" s="203" t="s">
        <v>515</v>
      </c>
    </row>
    <row r="64" spans="1:4" x14ac:dyDescent="0.25">
      <c r="A64" t="s">
        <v>391</v>
      </c>
      <c r="B64" t="s">
        <v>308</v>
      </c>
      <c r="C64" t="s">
        <v>692</v>
      </c>
      <c r="D64" s="203" t="s">
        <v>396</v>
      </c>
    </row>
    <row r="65" spans="1:4" x14ac:dyDescent="0.25">
      <c r="A65" t="s">
        <v>566</v>
      </c>
      <c r="B65" t="s">
        <v>567</v>
      </c>
      <c r="C65" t="s">
        <v>692</v>
      </c>
      <c r="D65" s="203" t="s">
        <v>571</v>
      </c>
    </row>
    <row r="66" spans="1:4" x14ac:dyDescent="0.25">
      <c r="A66" t="s">
        <v>566</v>
      </c>
      <c r="B66" t="s">
        <v>567</v>
      </c>
      <c r="C66" t="s">
        <v>692</v>
      </c>
      <c r="D66" s="203" t="s">
        <v>572</v>
      </c>
    </row>
    <row r="67" spans="1:4" x14ac:dyDescent="0.25">
      <c r="A67" t="s">
        <v>566</v>
      </c>
      <c r="B67" t="s">
        <v>567</v>
      </c>
      <c r="C67" t="s">
        <v>692</v>
      </c>
      <c r="D67" s="203" t="s">
        <v>568</v>
      </c>
    </row>
    <row r="68" spans="1:4" x14ac:dyDescent="0.25">
      <c r="A68" t="s">
        <v>566</v>
      </c>
      <c r="B68" t="s">
        <v>567</v>
      </c>
      <c r="C68" t="s">
        <v>692</v>
      </c>
      <c r="D68" s="203" t="s">
        <v>569</v>
      </c>
    </row>
    <row r="69" spans="1:4" x14ac:dyDescent="0.25">
      <c r="A69" t="s">
        <v>566</v>
      </c>
      <c r="B69" t="s">
        <v>567</v>
      </c>
      <c r="C69" t="s">
        <v>692</v>
      </c>
      <c r="D69" s="203" t="s">
        <v>580</v>
      </c>
    </row>
    <row r="70" spans="1:4" x14ac:dyDescent="0.25">
      <c r="A70" t="s">
        <v>566</v>
      </c>
      <c r="B70" t="s">
        <v>567</v>
      </c>
      <c r="C70" t="s">
        <v>692</v>
      </c>
      <c r="D70" s="203" t="s">
        <v>581</v>
      </c>
    </row>
    <row r="71" spans="1:4" x14ac:dyDescent="0.25">
      <c r="A71" t="s">
        <v>566</v>
      </c>
      <c r="B71" t="s">
        <v>567</v>
      </c>
      <c r="C71" t="s">
        <v>692</v>
      </c>
      <c r="D71" s="203" t="s">
        <v>577</v>
      </c>
    </row>
    <row r="72" spans="1:4" x14ac:dyDescent="0.25">
      <c r="A72" t="s">
        <v>566</v>
      </c>
      <c r="B72" t="s">
        <v>567</v>
      </c>
      <c r="C72" t="s">
        <v>692</v>
      </c>
      <c r="D72" s="203" t="s">
        <v>578</v>
      </c>
    </row>
    <row r="73" spans="1:4" x14ac:dyDescent="0.25">
      <c r="A73" t="s">
        <v>331</v>
      </c>
      <c r="B73" t="s">
        <v>332</v>
      </c>
      <c r="C73" t="s">
        <v>692</v>
      </c>
      <c r="D73" s="202" t="s">
        <v>413</v>
      </c>
    </row>
    <row r="74" spans="1:4" x14ac:dyDescent="0.25">
      <c r="A74" t="s">
        <v>331</v>
      </c>
      <c r="B74" t="s">
        <v>332</v>
      </c>
      <c r="C74" t="s">
        <v>692</v>
      </c>
      <c r="D74" s="202" t="s">
        <v>414</v>
      </c>
    </row>
    <row r="75" spans="1:4" x14ac:dyDescent="0.25">
      <c r="A75" t="s">
        <v>331</v>
      </c>
      <c r="B75" t="s">
        <v>332</v>
      </c>
      <c r="C75" t="s">
        <v>692</v>
      </c>
      <c r="D75" s="202" t="s">
        <v>415</v>
      </c>
    </row>
    <row r="76" spans="1:4" x14ac:dyDescent="0.25">
      <c r="A76" t="s">
        <v>331</v>
      </c>
      <c r="B76" t="s">
        <v>332</v>
      </c>
      <c r="C76" t="s">
        <v>692</v>
      </c>
      <c r="D76" s="202" t="s">
        <v>416</v>
      </c>
    </row>
    <row r="77" spans="1:4" x14ac:dyDescent="0.25">
      <c r="A77" t="s">
        <v>331</v>
      </c>
      <c r="B77" t="s">
        <v>332</v>
      </c>
      <c r="C77" t="s">
        <v>692</v>
      </c>
      <c r="D77" s="202" t="s">
        <v>417</v>
      </c>
    </row>
    <row r="78" spans="1:4" x14ac:dyDescent="0.25">
      <c r="A78" t="s">
        <v>331</v>
      </c>
      <c r="B78" t="s">
        <v>332</v>
      </c>
      <c r="C78" t="s">
        <v>692</v>
      </c>
      <c r="D78" s="202" t="s">
        <v>418</v>
      </c>
    </row>
    <row r="79" spans="1:4" x14ac:dyDescent="0.25">
      <c r="A79" t="s">
        <v>331</v>
      </c>
      <c r="B79" t="s">
        <v>332</v>
      </c>
      <c r="C79" t="s">
        <v>692</v>
      </c>
      <c r="D79" s="202" t="s">
        <v>419</v>
      </c>
    </row>
    <row r="80" spans="1:4" x14ac:dyDescent="0.25">
      <c r="A80" t="s">
        <v>331</v>
      </c>
      <c r="B80" t="s">
        <v>332</v>
      </c>
      <c r="C80" t="s">
        <v>692</v>
      </c>
      <c r="D80" s="202" t="s">
        <v>418</v>
      </c>
    </row>
    <row r="81" spans="1:4" x14ac:dyDescent="0.25">
      <c r="A81" t="s">
        <v>331</v>
      </c>
      <c r="B81" t="s">
        <v>332</v>
      </c>
      <c r="C81" t="s">
        <v>692</v>
      </c>
      <c r="D81" s="202" t="s">
        <v>420</v>
      </c>
    </row>
    <row r="82" spans="1:4" x14ac:dyDescent="0.25">
      <c r="A82" t="s">
        <v>331</v>
      </c>
      <c r="B82" t="s">
        <v>332</v>
      </c>
      <c r="C82" t="s">
        <v>692</v>
      </c>
      <c r="D82" s="202" t="s">
        <v>421</v>
      </c>
    </row>
    <row r="83" spans="1:4" x14ac:dyDescent="0.25">
      <c r="A83" t="s">
        <v>331</v>
      </c>
      <c r="B83" t="s">
        <v>332</v>
      </c>
      <c r="C83" t="s">
        <v>692</v>
      </c>
      <c r="D83" s="202" t="s">
        <v>422</v>
      </c>
    </row>
    <row r="84" spans="1:4" x14ac:dyDescent="0.25">
      <c r="A84" t="s">
        <v>331</v>
      </c>
      <c r="B84" t="s">
        <v>332</v>
      </c>
      <c r="C84" t="s">
        <v>692</v>
      </c>
      <c r="D84" s="202" t="s">
        <v>423</v>
      </c>
    </row>
    <row r="85" spans="1:4" x14ac:dyDescent="0.25">
      <c r="A85" t="s">
        <v>331</v>
      </c>
      <c r="B85" t="s">
        <v>332</v>
      </c>
      <c r="C85" t="s">
        <v>692</v>
      </c>
      <c r="D85" s="202" t="s">
        <v>424</v>
      </c>
    </row>
    <row r="86" spans="1:4" x14ac:dyDescent="0.25">
      <c r="A86" t="s">
        <v>331</v>
      </c>
      <c r="B86" t="s">
        <v>332</v>
      </c>
      <c r="C86" t="s">
        <v>692</v>
      </c>
      <c r="D86" s="202" t="s">
        <v>425</v>
      </c>
    </row>
    <row r="87" spans="1:4" x14ac:dyDescent="0.25">
      <c r="A87" t="s">
        <v>331</v>
      </c>
      <c r="B87" t="s">
        <v>332</v>
      </c>
      <c r="C87" t="s">
        <v>692</v>
      </c>
      <c r="D87" s="202" t="s">
        <v>426</v>
      </c>
    </row>
  </sheetData>
  <sheetProtection insertColumns="0" insertRows="0" deleteColumns="0" deleteRows="0"/>
  <mergeCells count="25">
    <mergeCell ref="J7:L7"/>
    <mergeCell ref="A20:G20"/>
    <mergeCell ref="M2:O2"/>
    <mergeCell ref="J8:L8"/>
    <mergeCell ref="A15:H18"/>
    <mergeCell ref="A3:F3"/>
    <mergeCell ref="A2:F2"/>
    <mergeCell ref="A1:O1"/>
    <mergeCell ref="G6:I6"/>
    <mergeCell ref="J6:L6"/>
    <mergeCell ref="G2:L2"/>
    <mergeCell ref="J4:L4"/>
    <mergeCell ref="G3:L3"/>
    <mergeCell ref="G5:I5"/>
    <mergeCell ref="J5:L5"/>
    <mergeCell ref="G4:I4"/>
    <mergeCell ref="A4:F4"/>
    <mergeCell ref="A5:F5"/>
    <mergeCell ref="A6:F6"/>
    <mergeCell ref="D21:G21"/>
    <mergeCell ref="A14:H14"/>
    <mergeCell ref="G8:I8"/>
    <mergeCell ref="G7:I7"/>
    <mergeCell ref="A7:F7"/>
    <mergeCell ref="A8:F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10</xdr:row>
                    <xdr:rowOff>9525</xdr:rowOff>
                  </from>
                  <to>
                    <xdr:col>0</xdr:col>
                    <xdr:colOff>1019175</xdr:colOff>
                    <xdr:row>12</xdr:row>
                    <xdr:rowOff>0</xdr:rowOff>
                  </to>
                </anchor>
              </controlPr>
            </control>
          </mc:Choice>
        </mc:AlternateContent>
        <mc:AlternateContent xmlns:mc="http://schemas.openxmlformats.org/markup-compatibility/2006">
          <mc:Choice Requires="x14">
            <control shapeId="4097" r:id="rId5" name="Button 1">
              <controlPr defaultSize="0" print="0" autoFill="0" autoPict="0" macro="[0]!RunPM">
                <anchor moveWithCells="1" sizeWithCells="1">
                  <from>
                    <xdr:col>0</xdr:col>
                    <xdr:colOff>9525</xdr:colOff>
                    <xdr:row>10</xdr:row>
                    <xdr:rowOff>9525</xdr:rowOff>
                  </from>
                  <to>
                    <xdr:col>1</xdr:col>
                    <xdr:colOff>0</xdr:colOff>
                    <xdr:row>12</xdr:row>
                    <xdr:rowOff>0</xdr:rowOff>
                  </to>
                </anchor>
              </controlPr>
            </control>
          </mc:Choice>
        </mc:AlternateContent>
        <mc:AlternateContent xmlns:mc="http://schemas.openxmlformats.org/markup-compatibility/2006">
          <mc:Choice Requires="x14">
            <control shapeId="4099" r:id="rId6" name="Button 3">
              <controlPr defaultSize="0" print="0" autoFill="0" autoPict="0" macro="[0]!StopPM">
                <anchor moveWithCells="1" sizeWithCells="1">
                  <from>
                    <xdr:col>10</xdr:col>
                    <xdr:colOff>9525</xdr:colOff>
                    <xdr:row>10</xdr:row>
                    <xdr:rowOff>9525</xdr:rowOff>
                  </from>
                  <to>
                    <xdr:col>10</xdr:col>
                    <xdr:colOff>1247775</xdr:colOff>
                    <xdr:row>12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Q47"/>
  <sheetViews>
    <sheetView tabSelected="1" zoomScale="84" zoomScaleNormal="84" workbookViewId="0">
      <selection activeCell="J19" sqref="J19"/>
    </sheetView>
  </sheetViews>
  <sheetFormatPr defaultColWidth="8.875" defaultRowHeight="15.75" x14ac:dyDescent="0.25"/>
  <cols>
    <col min="1" max="1" width="24.5" customWidth="1"/>
    <col min="2" max="2" width="21.875" customWidth="1"/>
    <col min="3" max="3" width="20.625" customWidth="1"/>
    <col min="4" max="4" width="14" customWidth="1"/>
    <col min="5" max="5" width="13.25" customWidth="1"/>
    <col min="6" max="6" width="13.375" customWidth="1"/>
    <col min="7" max="7" width="11.375" customWidth="1"/>
    <col min="8" max="8" width="12.125" customWidth="1"/>
    <col min="9" max="9" width="11.375" customWidth="1"/>
    <col min="10" max="10" width="16" customWidth="1"/>
    <col min="11" max="11" width="17" customWidth="1"/>
    <col min="12" max="12" width="13.375" customWidth="1"/>
    <col min="13" max="13" width="13" customWidth="1"/>
    <col min="14" max="14" width="17.625" customWidth="1"/>
    <col min="15" max="15" width="14.125" customWidth="1"/>
    <col min="16" max="16" width="12.125" customWidth="1"/>
    <col min="17" max="17" width="13.625" customWidth="1"/>
  </cols>
  <sheetData>
    <row r="1" spans="1:17" s="35" customFormat="1" ht="18.75" x14ac:dyDescent="0.3">
      <c r="A1" s="349" t="s">
        <v>363</v>
      </c>
      <c r="B1" s="349"/>
      <c r="C1" s="349"/>
      <c r="D1" s="349"/>
      <c r="E1" s="349"/>
      <c r="F1" s="349"/>
      <c r="G1" s="349"/>
      <c r="H1" s="349"/>
      <c r="I1" s="349"/>
      <c r="J1" s="349"/>
      <c r="K1" s="349"/>
      <c r="L1" s="349"/>
      <c r="M1" s="349"/>
      <c r="N1" s="349"/>
      <c r="O1" s="349"/>
      <c r="P1" s="349"/>
      <c r="Q1" s="36"/>
    </row>
    <row r="2" spans="1:17" s="35" customFormat="1" ht="19.5" customHeight="1" x14ac:dyDescent="0.25">
      <c r="A2" s="350" t="s">
        <v>250</v>
      </c>
      <c r="B2" s="350"/>
      <c r="C2" s="350"/>
      <c r="D2" s="350"/>
      <c r="E2" s="350"/>
      <c r="F2" s="350"/>
      <c r="G2" s="350" t="s">
        <v>220</v>
      </c>
      <c r="H2" s="350"/>
      <c r="I2" s="350"/>
      <c r="J2" s="350"/>
      <c r="K2" s="350"/>
      <c r="L2" s="350"/>
      <c r="M2" s="356" t="s">
        <v>265</v>
      </c>
      <c r="N2" s="356"/>
      <c r="O2" s="356"/>
      <c r="P2" s="356"/>
      <c r="Q2" s="37"/>
    </row>
    <row r="3" spans="1:17" s="35" customFormat="1" ht="57" customHeight="1" x14ac:dyDescent="0.25">
      <c r="A3" s="352" t="s">
        <v>374</v>
      </c>
      <c r="B3" s="352"/>
      <c r="C3" s="352"/>
      <c r="D3" s="352"/>
      <c r="E3" s="352"/>
      <c r="F3" s="352"/>
      <c r="G3" s="352" t="s">
        <v>267</v>
      </c>
      <c r="H3" s="352"/>
      <c r="I3" s="352"/>
      <c r="J3" s="352"/>
      <c r="K3" s="352"/>
      <c r="L3" s="352"/>
      <c r="M3" s="130" t="s">
        <v>269</v>
      </c>
      <c r="N3" s="130" t="s">
        <v>268</v>
      </c>
      <c r="O3" s="130" t="s">
        <v>328</v>
      </c>
      <c r="P3" s="130" t="s">
        <v>328</v>
      </c>
      <c r="Q3" s="133"/>
    </row>
    <row r="4" spans="1:17" s="35" customFormat="1" x14ac:dyDescent="0.25">
      <c r="A4" s="353" t="s">
        <v>370</v>
      </c>
      <c r="B4" s="354"/>
      <c r="C4" s="354"/>
      <c r="D4" s="354"/>
      <c r="E4" s="354"/>
      <c r="F4" s="355"/>
      <c r="G4" s="351" t="s">
        <v>222</v>
      </c>
      <c r="H4" s="351"/>
      <c r="I4" s="351"/>
      <c r="J4" s="351"/>
      <c r="K4" s="351"/>
      <c r="L4" s="351"/>
      <c r="M4" s="131" t="s">
        <v>226</v>
      </c>
      <c r="N4" s="131" t="s">
        <v>148</v>
      </c>
      <c r="O4" s="131" t="s">
        <v>329</v>
      </c>
      <c r="P4" s="131" t="s">
        <v>16</v>
      </c>
    </row>
    <row r="5" spans="1:17" s="35" customFormat="1" ht="33.75" customHeight="1" x14ac:dyDescent="0.25">
      <c r="A5" s="346"/>
      <c r="B5" s="347"/>
      <c r="C5" s="347"/>
      <c r="D5" s="347"/>
      <c r="E5" s="347"/>
      <c r="F5" s="348"/>
      <c r="G5" s="363" t="s">
        <v>3</v>
      </c>
      <c r="H5" s="363"/>
      <c r="I5" s="363"/>
      <c r="J5" s="363"/>
      <c r="K5" s="363"/>
      <c r="L5" s="363"/>
      <c r="M5" s="52" t="s">
        <v>262</v>
      </c>
      <c r="N5" s="52"/>
      <c r="O5" s="52" t="s">
        <v>427</v>
      </c>
      <c r="P5" s="52" t="s">
        <v>428</v>
      </c>
    </row>
    <row r="6" spans="1:17" s="35" customFormat="1" x14ac:dyDescent="0.25">
      <c r="A6" s="346"/>
      <c r="B6" s="347"/>
      <c r="C6" s="347"/>
      <c r="D6" s="347"/>
      <c r="E6" s="347"/>
      <c r="F6" s="348"/>
      <c r="G6" s="363"/>
      <c r="H6" s="363"/>
      <c r="I6" s="363"/>
      <c r="J6" s="363"/>
      <c r="K6" s="363"/>
      <c r="L6" s="363"/>
      <c r="M6" s="52"/>
      <c r="N6" s="52"/>
      <c r="O6" s="148"/>
      <c r="P6" s="148"/>
    </row>
    <row r="7" spans="1:17" s="35" customFormat="1" ht="17.25" customHeight="1" x14ac:dyDescent="0.25">
      <c r="A7" s="346"/>
      <c r="B7" s="347"/>
      <c r="C7" s="347"/>
      <c r="D7" s="347"/>
      <c r="E7" s="347"/>
      <c r="F7" s="348"/>
      <c r="G7" s="363"/>
      <c r="H7" s="363"/>
      <c r="I7" s="363"/>
      <c r="J7" s="363"/>
      <c r="K7" s="363"/>
      <c r="L7" s="363"/>
      <c r="M7" s="52"/>
      <c r="N7" s="52"/>
      <c r="O7" s="52"/>
      <c r="P7" s="134"/>
    </row>
    <row r="8" spans="1:17" s="35" customFormat="1" ht="15.75" customHeight="1" thickBot="1" x14ac:dyDescent="0.3"/>
    <row r="9" spans="1:17" s="35" customFormat="1" ht="30.75" customHeight="1" x14ac:dyDescent="0.25">
      <c r="A9" s="113" t="s">
        <v>252</v>
      </c>
      <c r="B9" s="116" t="s">
        <v>299</v>
      </c>
      <c r="C9" s="116" t="s">
        <v>328</v>
      </c>
      <c r="D9" s="115" t="s">
        <v>242</v>
      </c>
      <c r="E9" s="115" t="s">
        <v>242</v>
      </c>
      <c r="F9" s="115" t="s">
        <v>242</v>
      </c>
      <c r="G9" s="115" t="s">
        <v>242</v>
      </c>
      <c r="H9" s="116" t="s">
        <v>247</v>
      </c>
      <c r="I9" s="116" t="s">
        <v>247</v>
      </c>
      <c r="J9" s="116" t="s">
        <v>247</v>
      </c>
      <c r="K9" s="132" t="s">
        <v>387</v>
      </c>
    </row>
    <row r="10" spans="1:17" s="35" customFormat="1" ht="36.75" customHeight="1" x14ac:dyDescent="0.25">
      <c r="A10" s="128"/>
      <c r="B10" s="129" t="s">
        <v>225</v>
      </c>
      <c r="C10" s="126" t="s">
        <v>327</v>
      </c>
      <c r="D10" s="129" t="s">
        <v>90</v>
      </c>
      <c r="E10" s="129" t="s">
        <v>507</v>
      </c>
      <c r="F10" s="129" t="s">
        <v>91</v>
      </c>
      <c r="G10" s="129" t="s">
        <v>92</v>
      </c>
      <c r="H10" s="129" t="s">
        <v>227</v>
      </c>
      <c r="I10" s="129" t="s">
        <v>228</v>
      </c>
      <c r="J10" s="129" t="s">
        <v>229</v>
      </c>
      <c r="K10" s="211"/>
    </row>
    <row r="11" spans="1:17" s="35" customFormat="1" ht="16.5" thickBot="1" x14ac:dyDescent="0.3">
      <c r="A11" s="32"/>
      <c r="B11" s="33"/>
      <c r="C11" s="195"/>
      <c r="D11" s="34">
        <v>100</v>
      </c>
      <c r="E11" s="34"/>
      <c r="F11" s="34">
        <v>0</v>
      </c>
      <c r="G11" s="34"/>
      <c r="H11" s="34">
        <v>4</v>
      </c>
      <c r="I11" s="34">
        <v>10</v>
      </c>
      <c r="J11" s="34">
        <v>10</v>
      </c>
      <c r="K11" s="212"/>
      <c r="L11" s="135"/>
    </row>
    <row r="12" spans="1:17" s="35" customFormat="1" ht="18" customHeight="1" thickBot="1" x14ac:dyDescent="0.3"/>
    <row r="13" spans="1:17" s="35" customFormat="1" ht="18.75" x14ac:dyDescent="0.3">
      <c r="A13" s="330" t="s">
        <v>251</v>
      </c>
      <c r="B13" s="331"/>
      <c r="C13" s="331"/>
      <c r="D13" s="331"/>
      <c r="E13" s="331"/>
      <c r="F13" s="331"/>
      <c r="G13" s="331"/>
      <c r="H13" s="332"/>
    </row>
    <row r="14" spans="1:17" s="35" customFormat="1" x14ac:dyDescent="0.25">
      <c r="A14" s="333" t="s">
        <v>325</v>
      </c>
      <c r="B14" s="334"/>
      <c r="C14" s="334"/>
      <c r="D14" s="334"/>
      <c r="E14" s="334"/>
      <c r="F14" s="334"/>
      <c r="G14" s="334"/>
      <c r="H14" s="335"/>
    </row>
    <row r="15" spans="1:17" s="35" customFormat="1" x14ac:dyDescent="0.25">
      <c r="A15" s="333"/>
      <c r="B15" s="334"/>
      <c r="C15" s="334"/>
      <c r="D15" s="334"/>
      <c r="E15" s="334"/>
      <c r="F15" s="334"/>
      <c r="G15" s="334"/>
      <c r="H15" s="335"/>
    </row>
    <row r="16" spans="1:17" s="35" customFormat="1" x14ac:dyDescent="0.25">
      <c r="A16" s="333"/>
      <c r="B16" s="334"/>
      <c r="C16" s="334"/>
      <c r="D16" s="334"/>
      <c r="E16" s="334"/>
      <c r="F16" s="334"/>
      <c r="G16" s="334"/>
      <c r="H16" s="335"/>
    </row>
    <row r="17" spans="1:8" s="35" customFormat="1" ht="16.5" thickBot="1" x14ac:dyDescent="0.3">
      <c r="A17" s="336"/>
      <c r="B17" s="337"/>
      <c r="C17" s="337"/>
      <c r="D17" s="337"/>
      <c r="E17" s="337"/>
      <c r="F17" s="337"/>
      <c r="G17" s="337"/>
      <c r="H17" s="338"/>
    </row>
    <row r="18" spans="1:8" s="35" customFormat="1" x14ac:dyDescent="0.25"/>
    <row r="19" spans="1:8" s="35" customFormat="1" ht="31.5" customHeight="1" x14ac:dyDescent="0.25">
      <c r="A19" s="312" t="s">
        <v>277</v>
      </c>
      <c r="B19" s="312"/>
      <c r="C19" s="312"/>
      <c r="D19" s="312"/>
      <c r="E19" s="312"/>
      <c r="F19" s="312"/>
      <c r="G19" s="312"/>
    </row>
    <row r="20" spans="1:8" s="35" customFormat="1" x14ac:dyDescent="0.25">
      <c r="A20" s="51" t="s">
        <v>284</v>
      </c>
      <c r="B20" s="51" t="s">
        <v>278</v>
      </c>
      <c r="C20" s="51" t="s">
        <v>279</v>
      </c>
      <c r="D20" s="311" t="s">
        <v>280</v>
      </c>
      <c r="E20" s="311"/>
      <c r="F20" s="311"/>
      <c r="G20" s="311"/>
    </row>
    <row r="21" spans="1:8" x14ac:dyDescent="0.25">
      <c r="A21" t="s">
        <v>281</v>
      </c>
      <c r="B21" t="s">
        <v>282</v>
      </c>
      <c r="C21" t="s">
        <v>693</v>
      </c>
      <c r="D21" s="202" t="s">
        <v>657</v>
      </c>
    </row>
    <row r="22" spans="1:8" x14ac:dyDescent="0.25">
      <c r="A22" t="s">
        <v>300</v>
      </c>
      <c r="B22" t="s">
        <v>304</v>
      </c>
      <c r="C22" t="s">
        <v>693</v>
      </c>
      <c r="D22" s="203" t="s">
        <v>301</v>
      </c>
    </row>
    <row r="23" spans="1:8" x14ac:dyDescent="0.25">
      <c r="A23" t="s">
        <v>300</v>
      </c>
      <c r="B23" t="s">
        <v>305</v>
      </c>
      <c r="C23" t="s">
        <v>693</v>
      </c>
      <c r="D23" s="202" t="s">
        <v>302</v>
      </c>
    </row>
    <row r="24" spans="1:8" x14ac:dyDescent="0.25">
      <c r="A24" t="s">
        <v>300</v>
      </c>
      <c r="B24" t="s">
        <v>306</v>
      </c>
      <c r="C24" t="s">
        <v>693</v>
      </c>
      <c r="D24" s="202" t="s">
        <v>317</v>
      </c>
    </row>
    <row r="25" spans="1:8" x14ac:dyDescent="0.25">
      <c r="A25" t="s">
        <v>300</v>
      </c>
      <c r="B25" t="s">
        <v>307</v>
      </c>
      <c r="C25" t="s">
        <v>693</v>
      </c>
      <c r="D25" s="204" t="s">
        <v>303</v>
      </c>
    </row>
    <row r="26" spans="1:8" x14ac:dyDescent="0.25">
      <c r="A26" t="s">
        <v>309</v>
      </c>
      <c r="B26" t="s">
        <v>283</v>
      </c>
      <c r="C26" t="s">
        <v>693</v>
      </c>
      <c r="D26" s="203" t="s">
        <v>389</v>
      </c>
    </row>
    <row r="27" spans="1:8" x14ac:dyDescent="0.25">
      <c r="A27" t="s">
        <v>309</v>
      </c>
      <c r="B27" t="s">
        <v>283</v>
      </c>
      <c r="C27" t="s">
        <v>693</v>
      </c>
      <c r="D27" s="203" t="s">
        <v>388</v>
      </c>
    </row>
    <row r="28" spans="1:8" x14ac:dyDescent="0.25">
      <c r="A28" t="s">
        <v>309</v>
      </c>
      <c r="B28" t="s">
        <v>283</v>
      </c>
      <c r="C28" t="s">
        <v>693</v>
      </c>
      <c r="D28" s="203" t="s">
        <v>390</v>
      </c>
    </row>
    <row r="29" spans="1:8" x14ac:dyDescent="0.25">
      <c r="A29" t="s">
        <v>309</v>
      </c>
      <c r="B29" t="s">
        <v>283</v>
      </c>
      <c r="C29" t="s">
        <v>693</v>
      </c>
      <c r="D29" s="203" t="s">
        <v>310</v>
      </c>
    </row>
    <row r="30" spans="1:8" x14ac:dyDescent="0.25">
      <c r="A30" t="s">
        <v>309</v>
      </c>
      <c r="B30" t="s">
        <v>308</v>
      </c>
      <c r="C30" t="s">
        <v>693</v>
      </c>
      <c r="D30" s="203" t="s">
        <v>515</v>
      </c>
    </row>
    <row r="31" spans="1:8" x14ac:dyDescent="0.25">
      <c r="A31" t="s">
        <v>309</v>
      </c>
      <c r="B31" t="s">
        <v>308</v>
      </c>
      <c r="C31" t="s">
        <v>693</v>
      </c>
      <c r="D31" s="203" t="s">
        <v>311</v>
      </c>
    </row>
    <row r="32" spans="1:8" x14ac:dyDescent="0.25">
      <c r="A32" t="s">
        <v>566</v>
      </c>
      <c r="B32" t="s">
        <v>567</v>
      </c>
      <c r="C32" t="s">
        <v>693</v>
      </c>
      <c r="D32" s="203" t="s">
        <v>568</v>
      </c>
    </row>
    <row r="33" spans="1:4" x14ac:dyDescent="0.25">
      <c r="A33" t="s">
        <v>566</v>
      </c>
      <c r="B33" t="s">
        <v>567</v>
      </c>
      <c r="C33" t="s">
        <v>693</v>
      </c>
      <c r="D33" s="203" t="s">
        <v>569</v>
      </c>
    </row>
    <row r="34" spans="1:4" x14ac:dyDescent="0.25">
      <c r="A34" t="s">
        <v>566</v>
      </c>
      <c r="B34" t="s">
        <v>567</v>
      </c>
      <c r="C34" t="s">
        <v>693</v>
      </c>
      <c r="D34" s="203" t="s">
        <v>570</v>
      </c>
    </row>
    <row r="35" spans="1:4" x14ac:dyDescent="0.25">
      <c r="A35" t="s">
        <v>566</v>
      </c>
      <c r="B35" t="s">
        <v>567</v>
      </c>
      <c r="C35" t="s">
        <v>693</v>
      </c>
      <c r="D35" s="203" t="s">
        <v>571</v>
      </c>
    </row>
    <row r="36" spans="1:4" x14ac:dyDescent="0.25">
      <c r="A36" t="s">
        <v>566</v>
      </c>
      <c r="B36" t="s">
        <v>567</v>
      </c>
      <c r="C36" t="s">
        <v>693</v>
      </c>
      <c r="D36" s="203" t="s">
        <v>572</v>
      </c>
    </row>
    <row r="37" spans="1:4" x14ac:dyDescent="0.25">
      <c r="A37" t="s">
        <v>566</v>
      </c>
      <c r="B37" t="s">
        <v>567</v>
      </c>
      <c r="C37" t="s">
        <v>693</v>
      </c>
      <c r="D37" s="203" t="s">
        <v>573</v>
      </c>
    </row>
    <row r="38" spans="1:4" x14ac:dyDescent="0.25">
      <c r="A38" t="s">
        <v>566</v>
      </c>
      <c r="B38" t="s">
        <v>567</v>
      </c>
      <c r="C38" t="s">
        <v>693</v>
      </c>
      <c r="D38" s="203" t="s">
        <v>574</v>
      </c>
    </row>
    <row r="39" spans="1:4" x14ac:dyDescent="0.25">
      <c r="A39" t="s">
        <v>566</v>
      </c>
      <c r="B39" t="s">
        <v>567</v>
      </c>
      <c r="C39" t="s">
        <v>693</v>
      </c>
      <c r="D39" s="203" t="s">
        <v>575</v>
      </c>
    </row>
    <row r="40" spans="1:4" x14ac:dyDescent="0.25">
      <c r="A40" t="s">
        <v>566</v>
      </c>
      <c r="B40" t="s">
        <v>567</v>
      </c>
      <c r="C40" t="s">
        <v>693</v>
      </c>
      <c r="D40" s="203" t="s">
        <v>576</v>
      </c>
    </row>
    <row r="41" spans="1:4" x14ac:dyDescent="0.25">
      <c r="A41" t="s">
        <v>566</v>
      </c>
      <c r="B41" t="s">
        <v>567</v>
      </c>
      <c r="C41" t="s">
        <v>693</v>
      </c>
      <c r="D41" s="203" t="s">
        <v>577</v>
      </c>
    </row>
    <row r="42" spans="1:4" x14ac:dyDescent="0.25">
      <c r="A42" t="s">
        <v>566</v>
      </c>
      <c r="B42" t="s">
        <v>567</v>
      </c>
      <c r="C42" t="s">
        <v>693</v>
      </c>
      <c r="D42" s="203" t="s">
        <v>578</v>
      </c>
    </row>
    <row r="43" spans="1:4" x14ac:dyDescent="0.25">
      <c r="A43" t="s">
        <v>566</v>
      </c>
      <c r="B43" t="s">
        <v>567</v>
      </c>
      <c r="C43" t="s">
        <v>693</v>
      </c>
      <c r="D43" s="203" t="s">
        <v>579</v>
      </c>
    </row>
    <row r="44" spans="1:4" x14ac:dyDescent="0.25">
      <c r="A44" t="s">
        <v>566</v>
      </c>
      <c r="B44" t="s">
        <v>567</v>
      </c>
      <c r="C44" t="s">
        <v>693</v>
      </c>
      <c r="D44" s="203" t="s">
        <v>580</v>
      </c>
    </row>
    <row r="45" spans="1:4" x14ac:dyDescent="0.25">
      <c r="A45" t="s">
        <v>566</v>
      </c>
      <c r="B45" t="s">
        <v>567</v>
      </c>
      <c r="C45" t="s">
        <v>693</v>
      </c>
      <c r="D45" s="203" t="s">
        <v>581</v>
      </c>
    </row>
    <row r="46" spans="1:4" x14ac:dyDescent="0.25">
      <c r="A46" t="s">
        <v>694</v>
      </c>
      <c r="B46" t="s">
        <v>312</v>
      </c>
      <c r="C46" t="s">
        <v>693</v>
      </c>
      <c r="D46" s="203" t="s">
        <v>313</v>
      </c>
    </row>
    <row r="47" spans="1:4" x14ac:dyDescent="0.25">
      <c r="D47" s="235"/>
    </row>
  </sheetData>
  <sheetProtection insertColumns="0" insertRows="0" deleteColumns="0" deleteRows="0"/>
  <mergeCells count="18">
    <mergeCell ref="A2:F2"/>
    <mergeCell ref="G2:L2"/>
    <mergeCell ref="M2:P2"/>
    <mergeCell ref="A1:P1"/>
    <mergeCell ref="A3:F3"/>
    <mergeCell ref="G3:L3"/>
    <mergeCell ref="A19:G19"/>
    <mergeCell ref="D20:G20"/>
    <mergeCell ref="G4:L4"/>
    <mergeCell ref="A13:H13"/>
    <mergeCell ref="A14:H17"/>
    <mergeCell ref="G6:L6"/>
    <mergeCell ref="G7:L7"/>
    <mergeCell ref="G5:L5"/>
    <mergeCell ref="A7:F7"/>
    <mergeCell ref="A4:F4"/>
    <mergeCell ref="A5:F5"/>
    <mergeCell ref="A6:F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9</xdr:row>
                    <xdr:rowOff>9525</xdr:rowOff>
                  </from>
                  <to>
                    <xdr:col>1</xdr:col>
                    <xdr:colOff>0</xdr:colOff>
                    <xdr:row>10</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RunTC">
                <anchor moveWithCells="1" sizeWithCells="1">
                  <from>
                    <xdr:col>0</xdr:col>
                    <xdr:colOff>9525</xdr:colOff>
                    <xdr:row>9</xdr:row>
                    <xdr:rowOff>9525</xdr:rowOff>
                  </from>
                  <to>
                    <xdr:col>1</xdr:col>
                    <xdr:colOff>0</xdr:colOff>
                    <xdr:row>10</xdr:row>
                    <xdr:rowOff>390525</xdr:rowOff>
                  </to>
                </anchor>
              </controlPr>
            </control>
          </mc:Choice>
        </mc:AlternateContent>
        <mc:AlternateContent xmlns:mc="http://schemas.openxmlformats.org/markup-compatibility/2006">
          <mc:Choice Requires="x14">
            <control shapeId="7171" r:id="rId6" name="Button 3">
              <controlPr defaultSize="0" print="0" autoFill="0" autoPict="0" macro="[0]!StopTC">
                <anchor moveWithCells="1" sizeWithCells="1">
                  <from>
                    <xdr:col>10</xdr:col>
                    <xdr:colOff>9525</xdr:colOff>
                    <xdr:row>9</xdr:row>
                    <xdr:rowOff>9525</xdr:rowOff>
                  </from>
                  <to>
                    <xdr:col>11</xdr:col>
                    <xdr:colOff>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7A072-E2C0-44C1-A479-ADA098A4AB29}">
  <sheetPr codeName="Sheet6">
    <pageSetUpPr autoPageBreaks="0"/>
  </sheetPr>
  <dimension ref="A1:M114"/>
  <sheetViews>
    <sheetView zoomScale="89" zoomScaleNormal="89" workbookViewId="0">
      <selection activeCell="C8" sqref="C8"/>
    </sheetView>
  </sheetViews>
  <sheetFormatPr defaultColWidth="9" defaultRowHeight="15.75" x14ac:dyDescent="0.25"/>
  <cols>
    <col min="1" max="1" width="37" style="1" customWidth="1"/>
    <col min="2" max="2" width="94.25" style="4" customWidth="1"/>
    <col min="3" max="3" width="16" style="24" customWidth="1"/>
    <col min="4" max="4" width="15.125" style="18" customWidth="1"/>
    <col min="5" max="5" width="9" style="1"/>
    <col min="6" max="6" width="30.625" style="1" customWidth="1"/>
    <col min="7" max="16384" width="9" style="1"/>
  </cols>
  <sheetData>
    <row r="1" spans="1:13" ht="21.75" thickBot="1" x14ac:dyDescent="0.4">
      <c r="A1" s="364" t="s">
        <v>223</v>
      </c>
      <c r="B1" s="365"/>
      <c r="C1" s="365"/>
      <c r="D1" s="366"/>
      <c r="E1" s="17"/>
      <c r="F1" s="17"/>
      <c r="G1" s="17"/>
      <c r="H1" s="17"/>
      <c r="I1" s="17"/>
      <c r="J1" s="17"/>
      <c r="K1" s="17"/>
      <c r="L1" s="15"/>
      <c r="M1" s="16"/>
    </row>
    <row r="2" spans="1:13" ht="37.5" customHeight="1" thickBot="1" x14ac:dyDescent="0.35">
      <c r="A2" s="9" t="s">
        <v>62</v>
      </c>
      <c r="B2" s="10" t="s">
        <v>63</v>
      </c>
      <c r="C2" s="11" t="s">
        <v>159</v>
      </c>
      <c r="D2" s="246" t="s">
        <v>71</v>
      </c>
      <c r="F2" s="19" t="s">
        <v>74</v>
      </c>
    </row>
    <row r="3" spans="1:13" x14ac:dyDescent="0.25">
      <c r="A3" s="12" t="s">
        <v>18</v>
      </c>
      <c r="B3" s="5" t="s">
        <v>19</v>
      </c>
      <c r="C3" s="21"/>
      <c r="D3" s="236"/>
      <c r="F3" s="20" t="s">
        <v>75</v>
      </c>
    </row>
    <row r="4" spans="1:13" x14ac:dyDescent="0.25">
      <c r="A4" s="3" t="s">
        <v>93</v>
      </c>
      <c r="B4" s="6" t="s">
        <v>20</v>
      </c>
      <c r="C4" s="22"/>
      <c r="D4" s="237">
        <v>0</v>
      </c>
      <c r="F4" s="2" t="s">
        <v>76</v>
      </c>
    </row>
    <row r="5" spans="1:13" x14ac:dyDescent="0.25">
      <c r="A5" s="3" t="s">
        <v>94</v>
      </c>
      <c r="B5" s="6" t="s">
        <v>21</v>
      </c>
      <c r="C5" s="22"/>
      <c r="D5" s="237">
        <v>7</v>
      </c>
    </row>
    <row r="6" spans="1:13" x14ac:dyDescent="0.25">
      <c r="A6" s="3" t="s">
        <v>491</v>
      </c>
      <c r="B6" s="7" t="s">
        <v>492</v>
      </c>
      <c r="C6" s="238"/>
      <c r="D6" s="237">
        <v>1000000</v>
      </c>
    </row>
    <row r="7" spans="1:13" x14ac:dyDescent="0.25">
      <c r="A7" s="3" t="s">
        <v>454</v>
      </c>
      <c r="B7" s="7" t="s">
        <v>455</v>
      </c>
      <c r="C7" s="238"/>
      <c r="D7" s="237">
        <v>0</v>
      </c>
    </row>
    <row r="8" spans="1:13" x14ac:dyDescent="0.25">
      <c r="A8" s="3" t="s">
        <v>95</v>
      </c>
      <c r="B8" s="6" t="s">
        <v>22</v>
      </c>
      <c r="C8" s="22"/>
      <c r="D8" s="237">
        <v>0</v>
      </c>
    </row>
    <row r="9" spans="1:13" x14ac:dyDescent="0.25">
      <c r="A9" s="3" t="s">
        <v>482</v>
      </c>
      <c r="B9" s="6" t="s">
        <v>483</v>
      </c>
      <c r="C9" s="22"/>
      <c r="D9" s="237">
        <v>0</v>
      </c>
    </row>
    <row r="10" spans="1:13" x14ac:dyDescent="0.25">
      <c r="A10" s="3" t="s">
        <v>355</v>
      </c>
      <c r="B10" s="7" t="s">
        <v>356</v>
      </c>
      <c r="C10" s="239"/>
      <c r="D10" s="237">
        <v>1</v>
      </c>
    </row>
    <row r="11" spans="1:13" x14ac:dyDescent="0.25">
      <c r="A11" s="3" t="s">
        <v>493</v>
      </c>
      <c r="B11" s="7" t="s">
        <v>494</v>
      </c>
      <c r="C11" s="238"/>
      <c r="D11" s="237">
        <v>10000</v>
      </c>
    </row>
    <row r="12" spans="1:13" x14ac:dyDescent="0.25">
      <c r="A12" s="3" t="s">
        <v>495</v>
      </c>
      <c r="B12" s="7" t="s">
        <v>496</v>
      </c>
      <c r="C12" s="238"/>
      <c r="D12" s="237">
        <v>0.1</v>
      </c>
    </row>
    <row r="13" spans="1:13" x14ac:dyDescent="0.25">
      <c r="A13" s="3" t="s">
        <v>497</v>
      </c>
      <c r="B13" s="7" t="s">
        <v>498</v>
      </c>
      <c r="C13" s="238"/>
      <c r="D13" s="237"/>
    </row>
    <row r="14" spans="1:13" x14ac:dyDescent="0.25">
      <c r="A14" s="3" t="s">
        <v>499</v>
      </c>
      <c r="B14" s="7" t="s">
        <v>500</v>
      </c>
      <c r="C14" s="238"/>
      <c r="D14" s="237"/>
    </row>
    <row r="15" spans="1:13" x14ac:dyDescent="0.25">
      <c r="A15" s="3" t="s">
        <v>501</v>
      </c>
      <c r="B15" s="7" t="s">
        <v>502</v>
      </c>
      <c r="C15" s="238"/>
      <c r="D15" s="237">
        <v>10</v>
      </c>
    </row>
    <row r="16" spans="1:13" x14ac:dyDescent="0.25">
      <c r="A16" s="3" t="s">
        <v>503</v>
      </c>
      <c r="B16" s="7" t="s">
        <v>504</v>
      </c>
      <c r="C16" s="238"/>
      <c r="D16" s="237"/>
    </row>
    <row r="17" spans="1:4" x14ac:dyDescent="0.25">
      <c r="A17" s="3" t="s">
        <v>505</v>
      </c>
      <c r="B17" s="7" t="s">
        <v>506</v>
      </c>
      <c r="C17" s="238"/>
      <c r="D17" s="237"/>
    </row>
    <row r="18" spans="1:4" x14ac:dyDescent="0.25">
      <c r="A18" s="3" t="s">
        <v>357</v>
      </c>
      <c r="B18" s="7" t="s">
        <v>358</v>
      </c>
      <c r="C18" s="239"/>
      <c r="D18" s="237">
        <v>1</v>
      </c>
    </row>
    <row r="19" spans="1:4" x14ac:dyDescent="0.25">
      <c r="A19" s="3" t="s">
        <v>96</v>
      </c>
      <c r="B19" s="7" t="s">
        <v>52</v>
      </c>
      <c r="C19" s="247"/>
      <c r="D19" s="237"/>
    </row>
    <row r="20" spans="1:4" x14ac:dyDescent="0.25">
      <c r="A20" s="3" t="s">
        <v>651</v>
      </c>
      <c r="B20" s="7" t="s">
        <v>652</v>
      </c>
      <c r="C20" s="247"/>
      <c r="D20" s="248">
        <v>0.1</v>
      </c>
    </row>
    <row r="21" spans="1:4" x14ac:dyDescent="0.25">
      <c r="A21" s="3" t="s">
        <v>653</v>
      </c>
      <c r="B21" s="7" t="s">
        <v>654</v>
      </c>
      <c r="C21" s="247"/>
      <c r="D21" s="248">
        <v>100</v>
      </c>
    </row>
    <row r="22" spans="1:4" x14ac:dyDescent="0.25">
      <c r="A22" s="3" t="s">
        <v>655</v>
      </c>
      <c r="B22" s="7" t="s">
        <v>656</v>
      </c>
      <c r="C22" s="247"/>
      <c r="D22" s="248">
        <v>0.1</v>
      </c>
    </row>
    <row r="23" spans="1:4" x14ac:dyDescent="0.25">
      <c r="A23" s="12" t="s">
        <v>23</v>
      </c>
      <c r="B23" s="5" t="s">
        <v>24</v>
      </c>
      <c r="C23" s="21"/>
      <c r="D23" s="236"/>
    </row>
    <row r="24" spans="1:4" x14ac:dyDescent="0.25">
      <c r="A24" s="3" t="s">
        <v>97</v>
      </c>
      <c r="B24" s="6" t="s">
        <v>25</v>
      </c>
      <c r="C24" s="22"/>
      <c r="D24" s="237">
        <v>0</v>
      </c>
    </row>
    <row r="25" spans="1:4" x14ac:dyDescent="0.25">
      <c r="A25" s="3" t="s">
        <v>98</v>
      </c>
      <c r="B25" s="6" t="s">
        <v>67</v>
      </c>
      <c r="C25" s="22"/>
      <c r="D25" s="240" t="s">
        <v>64</v>
      </c>
    </row>
    <row r="26" spans="1:4" x14ac:dyDescent="0.25">
      <c r="A26" s="3" t="s">
        <v>99</v>
      </c>
      <c r="B26" s="6" t="s">
        <v>66</v>
      </c>
      <c r="C26" s="22"/>
      <c r="D26" s="240" t="s">
        <v>65</v>
      </c>
    </row>
    <row r="27" spans="1:4" x14ac:dyDescent="0.25">
      <c r="A27" s="3" t="s">
        <v>100</v>
      </c>
      <c r="B27" s="6" t="s">
        <v>26</v>
      </c>
      <c r="C27" s="22"/>
      <c r="D27" s="237">
        <v>0</v>
      </c>
    </row>
    <row r="28" spans="1:4" x14ac:dyDescent="0.25">
      <c r="A28" s="3" t="s">
        <v>101</v>
      </c>
      <c r="B28" s="6" t="s">
        <v>28</v>
      </c>
      <c r="C28" s="22"/>
      <c r="D28" s="237" t="s">
        <v>27</v>
      </c>
    </row>
    <row r="29" spans="1:4" x14ac:dyDescent="0.25">
      <c r="A29" s="12" t="s">
        <v>29</v>
      </c>
      <c r="B29" s="5" t="s">
        <v>30</v>
      </c>
      <c r="C29" s="21"/>
      <c r="D29" s="236"/>
    </row>
    <row r="30" spans="1:4" x14ac:dyDescent="0.25">
      <c r="A30" s="3" t="s">
        <v>102</v>
      </c>
      <c r="B30" s="6" t="s">
        <v>31</v>
      </c>
      <c r="C30" s="22"/>
      <c r="D30" s="237"/>
    </row>
    <row r="31" spans="1:4" x14ac:dyDescent="0.25">
      <c r="A31" s="3" t="s">
        <v>103</v>
      </c>
      <c r="B31" s="6" t="s">
        <v>32</v>
      </c>
      <c r="C31" s="22"/>
      <c r="D31" s="237"/>
    </row>
    <row r="32" spans="1:4" x14ac:dyDescent="0.25">
      <c r="A32" s="3" t="s">
        <v>104</v>
      </c>
      <c r="B32" s="6" t="s">
        <v>33</v>
      </c>
      <c r="C32" s="22"/>
      <c r="D32" s="237"/>
    </row>
    <row r="33" spans="1:4" x14ac:dyDescent="0.25">
      <c r="A33" s="3" t="s">
        <v>105</v>
      </c>
      <c r="B33" s="6" t="s">
        <v>34</v>
      </c>
      <c r="C33" s="22"/>
      <c r="D33" s="237"/>
    </row>
    <row r="34" spans="1:4" x14ac:dyDescent="0.25">
      <c r="A34" s="3" t="s">
        <v>106</v>
      </c>
      <c r="B34" s="6" t="s">
        <v>35</v>
      </c>
      <c r="C34" s="22"/>
      <c r="D34" s="237">
        <v>1</v>
      </c>
    </row>
    <row r="35" spans="1:4" x14ac:dyDescent="0.25">
      <c r="A35" s="3" t="s">
        <v>107</v>
      </c>
      <c r="B35" s="6" t="s">
        <v>36</v>
      </c>
      <c r="C35" s="22"/>
      <c r="D35" s="237"/>
    </row>
    <row r="36" spans="1:4" x14ac:dyDescent="0.25">
      <c r="A36" s="3" t="s">
        <v>108</v>
      </c>
      <c r="B36" s="6" t="s">
        <v>77</v>
      </c>
      <c r="C36" s="22"/>
      <c r="D36" s="237"/>
    </row>
    <row r="37" spans="1:4" x14ac:dyDescent="0.25">
      <c r="A37" s="3" t="s">
        <v>109</v>
      </c>
      <c r="B37" s="6" t="s">
        <v>78</v>
      </c>
      <c r="C37" s="22"/>
      <c r="D37" s="237"/>
    </row>
    <row r="38" spans="1:4" x14ac:dyDescent="0.25">
      <c r="A38" s="12" t="s">
        <v>37</v>
      </c>
      <c r="B38" s="5" t="s">
        <v>38</v>
      </c>
      <c r="C38" s="21"/>
      <c r="D38" s="236"/>
    </row>
    <row r="39" spans="1:4" x14ac:dyDescent="0.25">
      <c r="A39" s="3" t="s">
        <v>110</v>
      </c>
      <c r="B39" s="6" t="s">
        <v>39</v>
      </c>
      <c r="C39" s="22"/>
      <c r="D39" s="237">
        <v>100</v>
      </c>
    </row>
    <row r="40" spans="1:4" x14ac:dyDescent="0.25">
      <c r="A40" s="3" t="s">
        <v>111</v>
      </c>
      <c r="B40" s="6" t="s">
        <v>40</v>
      </c>
      <c r="C40" s="22"/>
      <c r="D40" s="237">
        <v>65535</v>
      </c>
    </row>
    <row r="41" spans="1:4" x14ac:dyDescent="0.25">
      <c r="A41" s="3" t="s">
        <v>112</v>
      </c>
      <c r="B41" s="6" t="s">
        <v>41</v>
      </c>
      <c r="C41" s="22"/>
      <c r="D41" s="237">
        <v>10</v>
      </c>
    </row>
    <row r="42" spans="1:4" x14ac:dyDescent="0.25">
      <c r="A42" s="3" t="s">
        <v>113</v>
      </c>
      <c r="B42" s="6" t="s">
        <v>42</v>
      </c>
      <c r="C42" s="22"/>
      <c r="D42" s="237">
        <v>0.1</v>
      </c>
    </row>
    <row r="43" spans="1:4" x14ac:dyDescent="0.25">
      <c r="A43" s="3" t="s">
        <v>114</v>
      </c>
      <c r="B43" s="6" t="s">
        <v>43</v>
      </c>
      <c r="C43" s="22"/>
      <c r="D43" s="237"/>
    </row>
    <row r="44" spans="1:4" x14ac:dyDescent="0.25">
      <c r="A44" s="3" t="s">
        <v>115</v>
      </c>
      <c r="B44" s="6" t="s">
        <v>44</v>
      </c>
      <c r="C44" s="22"/>
      <c r="D44" s="237"/>
    </row>
    <row r="45" spans="1:4" x14ac:dyDescent="0.25">
      <c r="A45" s="3" t="s">
        <v>116</v>
      </c>
      <c r="B45" s="6" t="s">
        <v>79</v>
      </c>
      <c r="C45" s="22"/>
      <c r="D45" s="237"/>
    </row>
    <row r="46" spans="1:4" x14ac:dyDescent="0.25">
      <c r="A46" s="12" t="s">
        <v>45</v>
      </c>
      <c r="B46" s="5" t="s">
        <v>46</v>
      </c>
      <c r="C46" s="21"/>
      <c r="D46" s="236"/>
    </row>
    <row r="47" spans="1:4" x14ac:dyDescent="0.25">
      <c r="A47" s="3" t="s">
        <v>117</v>
      </c>
      <c r="B47" s="6" t="s">
        <v>47</v>
      </c>
      <c r="C47" s="22"/>
      <c r="D47" s="237"/>
    </row>
    <row r="48" spans="1:4" x14ac:dyDescent="0.25">
      <c r="A48" s="3" t="s">
        <v>118</v>
      </c>
      <c r="B48" s="6" t="s">
        <v>48</v>
      </c>
      <c r="C48" s="22"/>
      <c r="D48" s="237">
        <v>0.02</v>
      </c>
    </row>
    <row r="49" spans="1:4" x14ac:dyDescent="0.25">
      <c r="A49" s="3" t="s">
        <v>119</v>
      </c>
      <c r="B49" s="6" t="s">
        <v>49</v>
      </c>
      <c r="C49" s="22"/>
      <c r="D49" s="237"/>
    </row>
    <row r="50" spans="1:4" x14ac:dyDescent="0.25">
      <c r="A50" s="3" t="s">
        <v>120</v>
      </c>
      <c r="B50" s="6" t="s">
        <v>50</v>
      </c>
      <c r="C50" s="22"/>
      <c r="D50" s="237"/>
    </row>
    <row r="51" spans="1:4" x14ac:dyDescent="0.25">
      <c r="A51" s="3" t="s">
        <v>121</v>
      </c>
      <c r="B51" s="6" t="s">
        <v>51</v>
      </c>
      <c r="C51" s="22"/>
      <c r="D51" s="237"/>
    </row>
    <row r="52" spans="1:4" x14ac:dyDescent="0.25">
      <c r="A52" s="3" t="s">
        <v>122</v>
      </c>
      <c r="B52" s="6" t="s">
        <v>69</v>
      </c>
      <c r="C52" s="22"/>
      <c r="D52" s="240" t="s">
        <v>68</v>
      </c>
    </row>
    <row r="53" spans="1:4" x14ac:dyDescent="0.25">
      <c r="A53" s="3" t="s">
        <v>160</v>
      </c>
      <c r="B53" s="6" t="s">
        <v>161</v>
      </c>
      <c r="C53" s="22"/>
      <c r="D53" s="240">
        <v>0</v>
      </c>
    </row>
    <row r="54" spans="1:4" x14ac:dyDescent="0.25">
      <c r="A54" s="12" t="s">
        <v>460</v>
      </c>
      <c r="B54" s="8" t="s">
        <v>461</v>
      </c>
      <c r="C54" s="241"/>
      <c r="D54" s="222"/>
    </row>
    <row r="55" spans="1:4" x14ac:dyDescent="0.25">
      <c r="A55" s="3" t="s">
        <v>462</v>
      </c>
      <c r="B55" s="7" t="s">
        <v>463</v>
      </c>
      <c r="C55" s="238"/>
      <c r="D55" s="223">
        <v>0.02</v>
      </c>
    </row>
    <row r="56" spans="1:4" x14ac:dyDescent="0.25">
      <c r="A56" s="3" t="s">
        <v>464</v>
      </c>
      <c r="B56" s="7" t="s">
        <v>465</v>
      </c>
      <c r="C56" s="238"/>
      <c r="D56" s="223"/>
    </row>
    <row r="57" spans="1:4" x14ac:dyDescent="0.25">
      <c r="A57" s="3" t="s">
        <v>466</v>
      </c>
      <c r="B57" s="7" t="s">
        <v>467</v>
      </c>
      <c r="C57" s="238"/>
      <c r="D57" s="223"/>
    </row>
    <row r="58" spans="1:4" x14ac:dyDescent="0.25">
      <c r="A58" s="3" t="s">
        <v>468</v>
      </c>
      <c r="B58" s="7" t="s">
        <v>469</v>
      </c>
      <c r="C58" s="238"/>
      <c r="D58" s="223"/>
    </row>
    <row r="59" spans="1:4" x14ac:dyDescent="0.25">
      <c r="A59" s="3" t="s">
        <v>470</v>
      </c>
      <c r="B59" s="7" t="s">
        <v>471</v>
      </c>
      <c r="C59" s="238"/>
      <c r="D59" s="240" t="s">
        <v>68</v>
      </c>
    </row>
    <row r="60" spans="1:4" x14ac:dyDescent="0.25">
      <c r="A60" s="12" t="s">
        <v>53</v>
      </c>
      <c r="B60" s="5" t="s">
        <v>54</v>
      </c>
      <c r="C60" s="21"/>
      <c r="D60" s="236"/>
    </row>
    <row r="61" spans="1:4" x14ac:dyDescent="0.25">
      <c r="A61" s="3" t="s">
        <v>123</v>
      </c>
      <c r="B61" s="6"/>
      <c r="C61" s="22"/>
      <c r="D61" s="237"/>
    </row>
    <row r="62" spans="1:4" x14ac:dyDescent="0.25">
      <c r="A62" s="3" t="s">
        <v>124</v>
      </c>
      <c r="B62" s="6" t="s">
        <v>81</v>
      </c>
      <c r="C62" s="22"/>
      <c r="D62" s="237"/>
    </row>
    <row r="63" spans="1:4" x14ac:dyDescent="0.25">
      <c r="A63" s="3" t="s">
        <v>125</v>
      </c>
      <c r="B63" s="6" t="s">
        <v>82</v>
      </c>
      <c r="C63" s="22"/>
      <c r="D63" s="237"/>
    </row>
    <row r="64" spans="1:4" x14ac:dyDescent="0.25">
      <c r="A64" s="3" t="s">
        <v>126</v>
      </c>
      <c r="B64" s="6" t="s">
        <v>83</v>
      </c>
      <c r="C64" s="22"/>
      <c r="D64" s="237"/>
    </row>
    <row r="65" spans="1:4" x14ac:dyDescent="0.25">
      <c r="A65" s="3" t="s">
        <v>162</v>
      </c>
      <c r="B65" s="6" t="s">
        <v>163</v>
      </c>
      <c r="C65" s="22"/>
      <c r="D65" s="237"/>
    </row>
    <row r="66" spans="1:4" x14ac:dyDescent="0.25">
      <c r="A66" s="3" t="s">
        <v>127</v>
      </c>
      <c r="B66" s="6" t="s">
        <v>85</v>
      </c>
      <c r="C66" s="22"/>
      <c r="D66" s="237"/>
    </row>
    <row r="67" spans="1:4" x14ac:dyDescent="0.25">
      <c r="A67" s="3" t="s">
        <v>128</v>
      </c>
      <c r="B67" s="6" t="s">
        <v>86</v>
      </c>
      <c r="C67" s="22"/>
      <c r="D67" s="237"/>
    </row>
    <row r="68" spans="1:4" x14ac:dyDescent="0.25">
      <c r="A68" s="3" t="s">
        <v>129</v>
      </c>
      <c r="B68" s="6" t="s">
        <v>84</v>
      </c>
      <c r="C68" s="22"/>
      <c r="D68" s="237"/>
    </row>
    <row r="69" spans="1:4" x14ac:dyDescent="0.25">
      <c r="A69" s="3" t="s">
        <v>130</v>
      </c>
      <c r="B69" s="6" t="s">
        <v>87</v>
      </c>
      <c r="C69" s="22"/>
      <c r="D69" s="237"/>
    </row>
    <row r="70" spans="1:4" x14ac:dyDescent="0.25">
      <c r="A70" s="3" t="s">
        <v>131</v>
      </c>
      <c r="B70" s="6" t="s">
        <v>88</v>
      </c>
      <c r="C70" s="22"/>
      <c r="D70" s="237"/>
    </row>
    <row r="71" spans="1:4" x14ac:dyDescent="0.25">
      <c r="A71" s="3" t="s">
        <v>132</v>
      </c>
      <c r="B71" s="6" t="s">
        <v>89</v>
      </c>
      <c r="C71" s="22"/>
      <c r="D71" s="237"/>
    </row>
    <row r="72" spans="1:4" x14ac:dyDescent="0.25">
      <c r="A72" s="3" t="s">
        <v>133</v>
      </c>
      <c r="B72" s="6" t="s">
        <v>55</v>
      </c>
      <c r="C72" s="22"/>
      <c r="D72" s="237">
        <v>1</v>
      </c>
    </row>
    <row r="73" spans="1:4" x14ac:dyDescent="0.25">
      <c r="A73" s="3" t="s">
        <v>134</v>
      </c>
      <c r="B73" s="6" t="s">
        <v>56</v>
      </c>
      <c r="C73" s="22"/>
      <c r="D73" s="237">
        <v>1</v>
      </c>
    </row>
    <row r="74" spans="1:4" x14ac:dyDescent="0.25">
      <c r="A74" s="3" t="s">
        <v>135</v>
      </c>
      <c r="B74" s="6" t="s">
        <v>57</v>
      </c>
      <c r="C74" s="22"/>
      <c r="D74" s="237">
        <v>1</v>
      </c>
    </row>
    <row r="75" spans="1:4" x14ac:dyDescent="0.25">
      <c r="A75" s="3" t="s">
        <v>136</v>
      </c>
      <c r="B75" s="6" t="s">
        <v>58</v>
      </c>
      <c r="C75" s="22"/>
      <c r="D75" s="237">
        <v>1</v>
      </c>
    </row>
    <row r="76" spans="1:4" x14ac:dyDescent="0.25">
      <c r="A76" s="3" t="s">
        <v>137</v>
      </c>
      <c r="B76" s="6" t="s">
        <v>59</v>
      </c>
      <c r="C76" s="22"/>
      <c r="D76" s="237">
        <v>1</v>
      </c>
    </row>
    <row r="77" spans="1:4" x14ac:dyDescent="0.25">
      <c r="A77" s="3" t="s">
        <v>138</v>
      </c>
      <c r="B77" s="6" t="s">
        <v>60</v>
      </c>
      <c r="C77" s="22"/>
      <c r="D77" s="237">
        <v>0</v>
      </c>
    </row>
    <row r="78" spans="1:4" x14ac:dyDescent="0.25">
      <c r="A78" s="3" t="s">
        <v>139</v>
      </c>
      <c r="B78" s="6" t="s">
        <v>80</v>
      </c>
      <c r="C78" s="22"/>
      <c r="D78" s="237"/>
    </row>
    <row r="79" spans="1:4" x14ac:dyDescent="0.25">
      <c r="A79" s="3" t="s">
        <v>140</v>
      </c>
      <c r="B79" s="6" t="s">
        <v>61</v>
      </c>
      <c r="C79" s="22"/>
      <c r="D79" s="237"/>
    </row>
    <row r="80" spans="1:4" x14ac:dyDescent="0.25">
      <c r="A80" s="12" t="s">
        <v>141</v>
      </c>
      <c r="B80" s="8" t="s">
        <v>142</v>
      </c>
      <c r="C80" s="21"/>
      <c r="D80" s="242"/>
    </row>
    <row r="81" spans="1:4" x14ac:dyDescent="0.25">
      <c r="A81" s="3" t="s">
        <v>143</v>
      </c>
      <c r="B81" s="7" t="s">
        <v>144</v>
      </c>
      <c r="C81" s="22"/>
      <c r="D81" s="223">
        <v>0</v>
      </c>
    </row>
    <row r="82" spans="1:4" x14ac:dyDescent="0.25">
      <c r="A82" s="12" t="s">
        <v>314</v>
      </c>
      <c r="B82" s="8" t="s">
        <v>472</v>
      </c>
      <c r="C82" s="21"/>
      <c r="D82" s="242"/>
    </row>
    <row r="83" spans="1:4" x14ac:dyDescent="0.25">
      <c r="A83" s="3" t="s">
        <v>315</v>
      </c>
      <c r="B83" s="7" t="s">
        <v>316</v>
      </c>
      <c r="C83" s="22"/>
      <c r="D83" s="223">
        <v>0</v>
      </c>
    </row>
    <row r="84" spans="1:4" x14ac:dyDescent="0.25">
      <c r="A84" s="12" t="s">
        <v>456</v>
      </c>
      <c r="B84" s="8" t="s">
        <v>457</v>
      </c>
      <c r="C84" s="21"/>
      <c r="D84" s="242"/>
    </row>
    <row r="85" spans="1:4" x14ac:dyDescent="0.25">
      <c r="A85" s="243" t="s">
        <v>596</v>
      </c>
      <c r="B85" s="244" t="s">
        <v>597</v>
      </c>
      <c r="C85" s="244"/>
      <c r="D85" s="240">
        <v>2</v>
      </c>
    </row>
    <row r="86" spans="1:4" x14ac:dyDescent="0.25">
      <c r="A86" s="243" t="s">
        <v>598</v>
      </c>
      <c r="B86" s="244" t="s">
        <v>599</v>
      </c>
      <c r="C86" s="244"/>
      <c r="D86" s="240">
        <v>0</v>
      </c>
    </row>
    <row r="87" spans="1:4" x14ac:dyDescent="0.25">
      <c r="A87" s="243" t="s">
        <v>600</v>
      </c>
      <c r="B87" s="244" t="s">
        <v>601</v>
      </c>
      <c r="C87" s="244"/>
      <c r="D87" s="240">
        <v>2</v>
      </c>
    </row>
    <row r="88" spans="1:4" x14ac:dyDescent="0.25">
      <c r="A88" s="243" t="s">
        <v>602</v>
      </c>
      <c r="B88" s="244" t="s">
        <v>603</v>
      </c>
      <c r="C88" s="244"/>
      <c r="D88" s="240" t="s">
        <v>604</v>
      </c>
    </row>
    <row r="89" spans="1:4" x14ac:dyDescent="0.25">
      <c r="A89" s="243" t="s">
        <v>605</v>
      </c>
      <c r="B89" s="244" t="s">
        <v>606</v>
      </c>
      <c r="C89" s="244"/>
      <c r="D89" s="240">
        <v>0.95</v>
      </c>
    </row>
    <row r="90" spans="1:4" x14ac:dyDescent="0.25">
      <c r="A90" s="243" t="s">
        <v>607</v>
      </c>
      <c r="B90" s="244" t="s">
        <v>608</v>
      </c>
      <c r="C90" s="244"/>
      <c r="D90" s="240"/>
    </row>
    <row r="91" spans="1:4" x14ac:dyDescent="0.25">
      <c r="A91" s="243" t="s">
        <v>609</v>
      </c>
      <c r="B91" s="244" t="s">
        <v>610</v>
      </c>
      <c r="C91" s="244"/>
      <c r="D91" s="240">
        <v>1</v>
      </c>
    </row>
    <row r="92" spans="1:4" x14ac:dyDescent="0.25">
      <c r="A92" s="243" t="s">
        <v>611</v>
      </c>
      <c r="B92" s="244" t="s">
        <v>612</v>
      </c>
      <c r="C92" s="244"/>
      <c r="D92" s="240">
        <v>1</v>
      </c>
    </row>
    <row r="93" spans="1:4" x14ac:dyDescent="0.25">
      <c r="A93" s="243" t="s">
        <v>613</v>
      </c>
      <c r="B93" s="244" t="s">
        <v>614</v>
      </c>
      <c r="C93" s="244"/>
      <c r="D93" s="240"/>
    </row>
    <row r="94" spans="1:4" x14ac:dyDescent="0.25">
      <c r="A94" s="243" t="s">
        <v>615</v>
      </c>
      <c r="B94" s="244" t="s">
        <v>616</v>
      </c>
      <c r="C94" s="244"/>
      <c r="D94" s="240">
        <v>1</v>
      </c>
    </row>
    <row r="95" spans="1:4" x14ac:dyDescent="0.25">
      <c r="A95" s="243" t="s">
        <v>617</v>
      </c>
      <c r="B95" s="244" t="s">
        <v>618</v>
      </c>
      <c r="C95" s="244"/>
      <c r="D95" s="240"/>
    </row>
    <row r="96" spans="1:4" x14ac:dyDescent="0.25">
      <c r="A96" s="243" t="s">
        <v>619</v>
      </c>
      <c r="B96" s="244" t="s">
        <v>620</v>
      </c>
      <c r="C96" s="244"/>
      <c r="D96" s="240"/>
    </row>
    <row r="97" spans="1:4" x14ac:dyDescent="0.25">
      <c r="A97" s="243" t="s">
        <v>621</v>
      </c>
      <c r="B97" s="244" t="s">
        <v>622</v>
      </c>
      <c r="C97" s="244"/>
      <c r="D97" s="240"/>
    </row>
    <row r="98" spans="1:4" x14ac:dyDescent="0.25">
      <c r="A98" s="3" t="s">
        <v>458</v>
      </c>
      <c r="B98" s="7" t="s">
        <v>459</v>
      </c>
      <c r="C98" s="22"/>
      <c r="D98" s="223">
        <v>1</v>
      </c>
    </row>
    <row r="99" spans="1:4" x14ac:dyDescent="0.25">
      <c r="A99" s="12" t="s">
        <v>623</v>
      </c>
      <c r="B99" s="8" t="s">
        <v>624</v>
      </c>
      <c r="C99" s="8"/>
      <c r="D99" s="222"/>
    </row>
    <row r="100" spans="1:4" x14ac:dyDescent="0.25">
      <c r="A100" s="243" t="s">
        <v>625</v>
      </c>
      <c r="B100" s="244" t="s">
        <v>626</v>
      </c>
      <c r="C100" s="244"/>
      <c r="D100" s="240">
        <v>2.5000000000000001E-2</v>
      </c>
    </row>
    <row r="101" spans="1:4" x14ac:dyDescent="0.25">
      <c r="A101" s="243" t="s">
        <v>627</v>
      </c>
      <c r="B101" s="244" t="s">
        <v>628</v>
      </c>
      <c r="C101" s="244"/>
      <c r="D101" s="240"/>
    </row>
    <row r="102" spans="1:4" x14ac:dyDescent="0.25">
      <c r="A102" s="243" t="s">
        <v>629</v>
      </c>
      <c r="B102" s="244" t="s">
        <v>630</v>
      </c>
      <c r="C102" s="244"/>
      <c r="D102" s="240"/>
    </row>
    <row r="103" spans="1:4" x14ac:dyDescent="0.25">
      <c r="A103" s="243" t="s">
        <v>631</v>
      </c>
      <c r="B103" s="244" t="s">
        <v>632</v>
      </c>
      <c r="C103" s="244"/>
      <c r="D103" s="240"/>
    </row>
    <row r="104" spans="1:4" x14ac:dyDescent="0.25">
      <c r="A104" s="12" t="s">
        <v>633</v>
      </c>
      <c r="B104" s="8" t="s">
        <v>634</v>
      </c>
      <c r="C104" s="8"/>
      <c r="D104" s="222"/>
    </row>
    <row r="105" spans="1:4" x14ac:dyDescent="0.25">
      <c r="A105" s="243" t="s">
        <v>635</v>
      </c>
      <c r="B105" s="244" t="s">
        <v>636</v>
      </c>
      <c r="C105" s="244"/>
      <c r="D105" s="240">
        <v>1</v>
      </c>
    </row>
    <row r="106" spans="1:4" x14ac:dyDescent="0.25">
      <c r="A106" s="243" t="s">
        <v>637</v>
      </c>
      <c r="B106" s="244" t="s">
        <v>638</v>
      </c>
      <c r="C106" s="244"/>
      <c r="D106" s="240">
        <v>5.5</v>
      </c>
    </row>
    <row r="107" spans="1:4" x14ac:dyDescent="0.25">
      <c r="A107" s="243" t="s">
        <v>639</v>
      </c>
      <c r="B107" s="244" t="s">
        <v>640</v>
      </c>
      <c r="C107" s="244"/>
      <c r="D107" s="240">
        <v>0.1</v>
      </c>
    </row>
    <row r="108" spans="1:4" x14ac:dyDescent="0.25">
      <c r="A108" s="243" t="s">
        <v>641</v>
      </c>
      <c r="B108" s="244" t="s">
        <v>642</v>
      </c>
      <c r="C108" s="244"/>
      <c r="D108" s="240">
        <v>100</v>
      </c>
    </row>
    <row r="109" spans="1:4" x14ac:dyDescent="0.25">
      <c r="A109" s="243" t="s">
        <v>643</v>
      </c>
      <c r="B109" s="244" t="s">
        <v>644</v>
      </c>
      <c r="C109" s="244"/>
      <c r="D109" s="240"/>
    </row>
    <row r="110" spans="1:4" x14ac:dyDescent="0.25">
      <c r="A110" s="243" t="s">
        <v>645</v>
      </c>
      <c r="B110" s="244" t="s">
        <v>646</v>
      </c>
      <c r="C110" s="244"/>
      <c r="D110" s="240"/>
    </row>
    <row r="111" spans="1:4" x14ac:dyDescent="0.25">
      <c r="A111" s="243" t="s">
        <v>647</v>
      </c>
      <c r="B111" s="244" t="s">
        <v>648</v>
      </c>
      <c r="C111" s="244"/>
      <c r="D111" s="240"/>
    </row>
    <row r="112" spans="1:4" x14ac:dyDescent="0.25">
      <c r="A112" s="243" t="s">
        <v>649</v>
      </c>
      <c r="B112" s="244" t="s">
        <v>650</v>
      </c>
      <c r="C112" s="244"/>
      <c r="D112" s="240" t="s">
        <v>64</v>
      </c>
    </row>
    <row r="113" spans="1:4" x14ac:dyDescent="0.25">
      <c r="A113" s="12" t="s">
        <v>149</v>
      </c>
      <c r="B113" s="8" t="s">
        <v>150</v>
      </c>
      <c r="C113" s="21"/>
      <c r="D113" s="242"/>
    </row>
    <row r="114" spans="1:4" ht="16.5" thickBot="1" x14ac:dyDescent="0.3">
      <c r="A114" s="13" t="s">
        <v>151</v>
      </c>
      <c r="B114" s="14" t="s">
        <v>152</v>
      </c>
      <c r="C114" s="23"/>
      <c r="D114" s="245">
        <v>0</v>
      </c>
    </row>
  </sheetData>
  <sheetProtection sheet="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O12"/>
  <sheetViews>
    <sheetView zoomScale="82" zoomScaleNormal="82" workbookViewId="0">
      <selection activeCell="E9" sqref="E9"/>
    </sheetView>
  </sheetViews>
  <sheetFormatPr defaultColWidth="11" defaultRowHeight="15.75" x14ac:dyDescent="0.25"/>
  <cols>
    <col min="1" max="1" width="10.875" style="1" customWidth="1"/>
    <col min="2" max="2" width="11" style="1"/>
    <col min="3" max="3" width="23.125" style="1" customWidth="1"/>
    <col min="4" max="4" width="27.125" style="1" customWidth="1"/>
    <col min="5" max="5" width="27.25" style="1" customWidth="1"/>
    <col min="6" max="6" width="26.375" style="1" customWidth="1"/>
    <col min="7" max="7" width="25.75" style="1" customWidth="1"/>
    <col min="8" max="8" width="29.75" style="1" customWidth="1"/>
    <col min="9" max="10" width="26.125" style="1" customWidth="1"/>
    <col min="11" max="11" width="24.375" style="1" customWidth="1"/>
    <col min="12" max="12" width="24.875" style="1" customWidth="1"/>
    <col min="13" max="13" width="27.5" style="1" customWidth="1"/>
    <col min="14" max="14" width="26.125" style="1" customWidth="1"/>
    <col min="15" max="16384" width="11" style="1"/>
  </cols>
  <sheetData>
    <row r="1" spans="1:15" ht="21.75" thickBot="1" x14ac:dyDescent="0.3">
      <c r="A1" s="370" t="s">
        <v>367</v>
      </c>
      <c r="B1" s="371"/>
      <c r="C1" s="371"/>
      <c r="D1" s="371"/>
      <c r="E1" s="371"/>
      <c r="F1" s="371"/>
      <c r="G1" s="371"/>
      <c r="H1" s="371"/>
      <c r="I1" s="371"/>
      <c r="J1" s="371"/>
      <c r="K1" s="371"/>
      <c r="L1" s="371"/>
      <c r="M1" s="371"/>
      <c r="N1" s="371"/>
      <c r="O1" s="372"/>
    </row>
    <row r="2" spans="1:15" ht="16.5" thickBot="1" x14ac:dyDescent="0.3"/>
    <row r="3" spans="1:15" ht="29.25" thickBot="1" x14ac:dyDescent="0.5">
      <c r="B3" s="367" t="s">
        <v>201</v>
      </c>
      <c r="C3" s="368"/>
      <c r="D3" s="368"/>
      <c r="E3" s="368"/>
      <c r="F3" s="368"/>
      <c r="G3" s="368"/>
      <c r="H3" s="368"/>
      <c r="I3" s="368"/>
      <c r="J3" s="368"/>
      <c r="K3" s="368"/>
      <c r="L3" s="368"/>
      <c r="M3" s="368"/>
      <c r="N3" s="369"/>
    </row>
    <row r="4" spans="1:15" ht="28.5" x14ac:dyDescent="0.45">
      <c r="B4" s="159"/>
      <c r="C4" s="184">
        <v>1</v>
      </c>
      <c r="D4" s="184">
        <v>2</v>
      </c>
      <c r="E4" s="184">
        <v>3</v>
      </c>
      <c r="F4" s="184">
        <v>4</v>
      </c>
      <c r="G4" s="184">
        <v>5</v>
      </c>
      <c r="H4" s="184">
        <v>6</v>
      </c>
      <c r="I4" s="185">
        <v>7</v>
      </c>
      <c r="J4" s="185">
        <v>8</v>
      </c>
      <c r="K4" s="185">
        <v>9</v>
      </c>
      <c r="L4" s="185">
        <v>10</v>
      </c>
      <c r="M4" s="185">
        <v>11</v>
      </c>
      <c r="N4" s="186">
        <v>12</v>
      </c>
    </row>
    <row r="5" spans="1:15" ht="59.25" customHeight="1" x14ac:dyDescent="0.25">
      <c r="B5" s="182" t="s">
        <v>202</v>
      </c>
      <c r="C5" s="160"/>
      <c r="D5" s="160"/>
      <c r="E5" s="160"/>
      <c r="F5" s="160"/>
      <c r="G5" s="160"/>
      <c r="H5" s="160"/>
      <c r="I5" s="160"/>
      <c r="J5" s="160"/>
      <c r="K5" s="160"/>
      <c r="L5" s="160"/>
      <c r="M5" s="160"/>
      <c r="N5" s="161"/>
    </row>
    <row r="6" spans="1:15" ht="62.25" customHeight="1" x14ac:dyDescent="0.25">
      <c r="B6" s="182" t="s">
        <v>203</v>
      </c>
      <c r="C6" s="160"/>
      <c r="D6" s="160"/>
      <c r="E6" s="180" t="s">
        <v>533</v>
      </c>
      <c r="F6" s="180" t="s">
        <v>534</v>
      </c>
      <c r="G6" s="180" t="s">
        <v>535</v>
      </c>
      <c r="H6" s="180" t="s">
        <v>536</v>
      </c>
      <c r="I6" s="180" t="s">
        <v>537</v>
      </c>
      <c r="J6" s="180" t="s">
        <v>538</v>
      </c>
      <c r="K6" s="180" t="s">
        <v>539</v>
      </c>
      <c r="L6" s="180" t="s">
        <v>540</v>
      </c>
      <c r="M6" s="180" t="s">
        <v>541</v>
      </c>
      <c r="N6" s="181" t="s">
        <v>542</v>
      </c>
    </row>
    <row r="7" spans="1:15" ht="66" customHeight="1" x14ac:dyDescent="0.25">
      <c r="B7" s="182" t="s">
        <v>204</v>
      </c>
      <c r="C7" s="180" t="s">
        <v>543</v>
      </c>
      <c r="D7" s="180" t="s">
        <v>544</v>
      </c>
      <c r="E7" s="180" t="s">
        <v>545</v>
      </c>
      <c r="F7" s="180" t="s">
        <v>546</v>
      </c>
      <c r="G7" s="160"/>
      <c r="H7" s="160"/>
      <c r="I7" s="160"/>
      <c r="J7" s="160"/>
      <c r="K7" s="160"/>
      <c r="L7" s="160"/>
      <c r="M7" s="160"/>
      <c r="N7" s="161"/>
    </row>
    <row r="8" spans="1:15" ht="57" customHeight="1" x14ac:dyDescent="0.25">
      <c r="B8" s="182" t="s">
        <v>205</v>
      </c>
      <c r="C8" s="160"/>
      <c r="D8" s="160"/>
      <c r="E8" s="160"/>
      <c r="F8" s="160"/>
      <c r="G8" s="160"/>
      <c r="H8" s="160"/>
      <c r="I8" s="160"/>
      <c r="J8" s="160"/>
      <c r="K8" s="160"/>
      <c r="L8" s="160"/>
      <c r="M8" s="160"/>
      <c r="N8" s="161"/>
    </row>
    <row r="9" spans="1:15" ht="66.75" customHeight="1" x14ac:dyDescent="0.25">
      <c r="B9" s="182" t="s">
        <v>206</v>
      </c>
      <c r="C9" s="160"/>
      <c r="D9" s="160"/>
      <c r="E9" s="160"/>
      <c r="F9" s="160"/>
      <c r="G9" s="160"/>
      <c r="H9" s="160"/>
      <c r="I9" s="160"/>
      <c r="J9" s="160"/>
      <c r="K9" s="160"/>
      <c r="L9" s="160"/>
      <c r="M9" s="160"/>
      <c r="N9" s="161"/>
    </row>
    <row r="10" spans="1:15" ht="55.5" customHeight="1" x14ac:dyDescent="0.25">
      <c r="B10" s="182" t="s">
        <v>207</v>
      </c>
      <c r="C10" s="160"/>
      <c r="D10" s="160"/>
      <c r="E10" s="160"/>
      <c r="F10" s="160"/>
      <c r="G10" s="160"/>
      <c r="H10" s="160"/>
      <c r="I10" s="160"/>
      <c r="J10" s="160"/>
      <c r="K10" s="160"/>
      <c r="L10" s="160"/>
      <c r="M10" s="160"/>
      <c r="N10" s="161"/>
    </row>
    <row r="11" spans="1:15" ht="58.5" customHeight="1" x14ac:dyDescent="0.25">
      <c r="B11" s="182" t="s">
        <v>208</v>
      </c>
      <c r="C11" s="160"/>
      <c r="D11" s="160"/>
      <c r="E11" s="160"/>
      <c r="F11" s="160"/>
      <c r="G11" s="160"/>
      <c r="H11" s="160"/>
      <c r="I11" s="160"/>
      <c r="J11" s="160"/>
      <c r="K11" s="160"/>
      <c r="L11" s="160"/>
      <c r="M11" s="160"/>
      <c r="N11" s="161"/>
    </row>
    <row r="12" spans="1:15" ht="58.5" customHeight="1" thickBot="1" x14ac:dyDescent="0.3">
      <c r="B12" s="183" t="s">
        <v>209</v>
      </c>
      <c r="C12" s="162"/>
      <c r="D12" s="162"/>
      <c r="E12" s="162"/>
      <c r="F12" s="162"/>
      <c r="G12" s="162"/>
      <c r="H12" s="162"/>
      <c r="I12" s="162"/>
      <c r="J12" s="162"/>
      <c r="K12" s="162"/>
      <c r="L12" s="162"/>
      <c r="M12" s="162"/>
      <c r="N12" s="163"/>
    </row>
  </sheetData>
  <sheetProtection sheet="1" objects="1" scenarios="1"/>
  <mergeCells count="2">
    <mergeCell ref="B3:N3"/>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S10"/>
  <sheetViews>
    <sheetView workbookViewId="0">
      <selection activeCell="E10" sqref="E10"/>
    </sheetView>
  </sheetViews>
  <sheetFormatPr defaultColWidth="11" defaultRowHeight="15.75" x14ac:dyDescent="0.25"/>
  <cols>
    <col min="1" max="2" width="11" style="1"/>
    <col min="3" max="3" width="18.625" style="1" customWidth="1"/>
    <col min="4" max="4" width="19.25" style="1" customWidth="1"/>
    <col min="5" max="5" width="17.75" style="1" customWidth="1"/>
    <col min="6" max="6" width="19" style="1" customWidth="1"/>
    <col min="7" max="7" width="18.625" style="1" customWidth="1"/>
    <col min="8" max="8" width="21.625" style="1" customWidth="1"/>
    <col min="9" max="9" width="21.375" style="1" customWidth="1"/>
    <col min="10" max="10" width="21.5" style="1" customWidth="1"/>
    <col min="11" max="16384" width="11" style="1"/>
  </cols>
  <sheetData>
    <row r="1" spans="1:19" ht="20.25" customHeight="1" thickBot="1" x14ac:dyDescent="0.3">
      <c r="A1" s="373" t="s">
        <v>368</v>
      </c>
      <c r="B1" s="374"/>
      <c r="C1" s="374"/>
      <c r="D1" s="374"/>
      <c r="E1" s="374"/>
      <c r="F1" s="374"/>
      <c r="G1" s="374"/>
      <c r="H1" s="374"/>
      <c r="I1" s="374"/>
      <c r="J1" s="374"/>
      <c r="K1" s="375"/>
      <c r="L1" s="164"/>
      <c r="M1" s="164"/>
      <c r="N1" s="164"/>
      <c r="O1" s="164"/>
      <c r="P1" s="164"/>
      <c r="Q1" s="164"/>
      <c r="R1" s="164"/>
      <c r="S1" s="164"/>
    </row>
    <row r="2" spans="1:19" ht="16.5" thickBot="1" x14ac:dyDescent="0.3">
      <c r="A2" s="165"/>
      <c r="B2" s="165"/>
      <c r="C2" s="165"/>
      <c r="D2" s="165"/>
      <c r="E2" s="165"/>
      <c r="F2" s="165"/>
      <c r="G2" s="165"/>
      <c r="H2" s="165"/>
      <c r="I2" s="165"/>
    </row>
    <row r="3" spans="1:19" ht="29.25" thickBot="1" x14ac:dyDescent="0.5">
      <c r="B3" s="367" t="s">
        <v>201</v>
      </c>
      <c r="C3" s="368"/>
      <c r="D3" s="368"/>
      <c r="E3" s="368"/>
      <c r="F3" s="368"/>
      <c r="G3" s="368"/>
      <c r="H3" s="368"/>
      <c r="I3" s="368"/>
      <c r="J3" s="369"/>
      <c r="L3" s="166"/>
      <c r="M3" s="166"/>
    </row>
    <row r="4" spans="1:19" ht="26.25" x14ac:dyDescent="0.25">
      <c r="B4" s="167"/>
      <c r="C4" s="189">
        <v>1</v>
      </c>
      <c r="D4" s="190">
        <v>2</v>
      </c>
      <c r="E4" s="190">
        <v>3</v>
      </c>
      <c r="F4" s="190">
        <v>4</v>
      </c>
      <c r="G4" s="190">
        <v>5</v>
      </c>
      <c r="H4" s="190">
        <v>6</v>
      </c>
      <c r="I4" s="191">
        <v>7</v>
      </c>
      <c r="J4" s="192">
        <v>8</v>
      </c>
    </row>
    <row r="5" spans="1:19" ht="52.5" customHeight="1" x14ac:dyDescent="0.25">
      <c r="B5" s="187" t="s">
        <v>202</v>
      </c>
      <c r="C5" s="168"/>
      <c r="D5" s="2"/>
      <c r="E5" s="2"/>
      <c r="F5" s="2"/>
      <c r="G5" s="2"/>
      <c r="H5" s="2"/>
      <c r="I5" s="169"/>
      <c r="J5" s="44"/>
    </row>
    <row r="6" spans="1:19" ht="59.25" customHeight="1" x14ac:dyDescent="0.25">
      <c r="B6" s="187" t="s">
        <v>203</v>
      </c>
      <c r="C6" s="168"/>
      <c r="D6" s="2"/>
      <c r="E6" s="2"/>
      <c r="F6" s="2"/>
      <c r="G6" s="2"/>
      <c r="H6" s="2"/>
      <c r="I6" s="169"/>
      <c r="J6" s="44"/>
    </row>
    <row r="7" spans="1:19" ht="59.25" customHeight="1" x14ac:dyDescent="0.25">
      <c r="B7" s="187" t="s">
        <v>204</v>
      </c>
      <c r="C7" s="168"/>
      <c r="D7" s="2"/>
      <c r="E7" s="2"/>
      <c r="F7" s="2"/>
      <c r="G7" s="2"/>
      <c r="H7" s="2"/>
      <c r="I7" s="169"/>
      <c r="J7" s="44"/>
    </row>
    <row r="8" spans="1:19" ht="58.5" customHeight="1" x14ac:dyDescent="0.25">
      <c r="B8" s="187" t="s">
        <v>205</v>
      </c>
      <c r="C8" s="168"/>
      <c r="D8" s="2"/>
      <c r="E8" s="2"/>
      <c r="F8" s="2"/>
      <c r="G8" s="2"/>
      <c r="H8" s="2"/>
      <c r="I8" s="169"/>
      <c r="J8" s="44"/>
    </row>
    <row r="9" spans="1:19" ht="64.5" customHeight="1" x14ac:dyDescent="0.25">
      <c r="B9" s="187" t="s">
        <v>206</v>
      </c>
      <c r="C9" s="168"/>
      <c r="D9" s="2"/>
      <c r="E9" s="2"/>
      <c r="F9" s="2"/>
      <c r="G9" s="2"/>
      <c r="H9" s="2"/>
      <c r="I9" s="169"/>
      <c r="J9" s="44"/>
    </row>
    <row r="10" spans="1:19" ht="56.25" customHeight="1" thickBot="1" x14ac:dyDescent="0.3">
      <c r="B10" s="188" t="s">
        <v>207</v>
      </c>
      <c r="C10" s="170"/>
      <c r="D10" s="171"/>
      <c r="E10" s="171"/>
      <c r="F10" s="171"/>
      <c r="G10" s="171"/>
      <c r="H10" s="171"/>
      <c r="I10" s="172"/>
      <c r="J10" s="173"/>
    </row>
  </sheetData>
  <sheetProtection sheet="1" objects="1" scenarios="1"/>
  <mergeCells count="2">
    <mergeCell ref="B3:J3"/>
    <mergeCell ref="A1:K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O15"/>
  <sheetViews>
    <sheetView workbookViewId="0">
      <selection activeCell="C18" sqref="C18"/>
    </sheetView>
  </sheetViews>
  <sheetFormatPr defaultColWidth="11" defaultRowHeight="15.75" x14ac:dyDescent="0.25"/>
  <cols>
    <col min="1" max="2" width="11" style="1"/>
    <col min="3" max="3" width="19.25" style="1" customWidth="1"/>
    <col min="4" max="6" width="20.375" style="1" customWidth="1"/>
    <col min="7" max="7" width="19.125" style="1" customWidth="1"/>
    <col min="8" max="8" width="20" style="1" customWidth="1"/>
    <col min="9" max="16384" width="11" style="1"/>
  </cols>
  <sheetData>
    <row r="1" spans="1:15" ht="21.75" thickBot="1" x14ac:dyDescent="0.3">
      <c r="A1" s="370" t="s">
        <v>369</v>
      </c>
      <c r="B1" s="371"/>
      <c r="C1" s="371"/>
      <c r="D1" s="371"/>
      <c r="E1" s="371"/>
      <c r="F1" s="371"/>
      <c r="G1" s="371"/>
      <c r="H1" s="371"/>
      <c r="I1" s="372"/>
      <c r="J1" s="174"/>
      <c r="K1" s="174"/>
      <c r="L1" s="174"/>
      <c r="M1" s="174"/>
      <c r="N1" s="174"/>
      <c r="O1" s="174"/>
    </row>
    <row r="2" spans="1:15" ht="16.5" thickBot="1" x14ac:dyDescent="0.3">
      <c r="A2" s="175"/>
      <c r="B2" s="165"/>
      <c r="C2" s="165"/>
      <c r="D2" s="165"/>
      <c r="E2" s="165"/>
      <c r="F2" s="165"/>
      <c r="G2" s="165"/>
      <c r="H2" s="176"/>
    </row>
    <row r="3" spans="1:15" ht="29.25" thickBot="1" x14ac:dyDescent="0.5">
      <c r="B3" s="367" t="s">
        <v>201</v>
      </c>
      <c r="C3" s="368"/>
      <c r="D3" s="368"/>
      <c r="E3" s="368"/>
      <c r="F3" s="368"/>
      <c r="G3" s="368"/>
      <c r="H3" s="369"/>
      <c r="J3" s="166"/>
      <c r="K3" s="166"/>
    </row>
    <row r="4" spans="1:15" ht="26.25" x14ac:dyDescent="0.4">
      <c r="B4" s="167"/>
      <c r="C4" s="193">
        <v>1</v>
      </c>
      <c r="D4" s="193">
        <v>2</v>
      </c>
      <c r="E4" s="193">
        <v>3</v>
      </c>
      <c r="F4" s="193">
        <v>4</v>
      </c>
      <c r="G4" s="193">
        <v>5</v>
      </c>
      <c r="H4" s="194">
        <v>6</v>
      </c>
    </row>
    <row r="5" spans="1:15" ht="58.5" customHeight="1" x14ac:dyDescent="0.25">
      <c r="B5" s="187" t="s">
        <v>202</v>
      </c>
      <c r="C5" s="2"/>
      <c r="D5" s="2"/>
      <c r="E5" s="2"/>
      <c r="F5" s="2"/>
      <c r="G5" s="2"/>
      <c r="H5" s="44"/>
    </row>
    <row r="6" spans="1:15" ht="59.25" customHeight="1" x14ac:dyDescent="0.25">
      <c r="B6" s="187" t="s">
        <v>203</v>
      </c>
      <c r="C6" s="2"/>
      <c r="D6" s="2"/>
      <c r="E6" s="2"/>
      <c r="F6" s="2"/>
      <c r="G6" s="2"/>
      <c r="H6" s="44"/>
    </row>
    <row r="7" spans="1:15" ht="57.75" customHeight="1" x14ac:dyDescent="0.25">
      <c r="B7" s="187" t="s">
        <v>204</v>
      </c>
      <c r="C7" s="2"/>
      <c r="D7" s="2"/>
      <c r="E7" s="2"/>
      <c r="F7" s="2"/>
      <c r="G7" s="2"/>
      <c r="H7" s="44"/>
    </row>
    <row r="8" spans="1:15" ht="60" customHeight="1" thickBot="1" x14ac:dyDescent="0.3">
      <c r="B8" s="188" t="s">
        <v>205</v>
      </c>
      <c r="C8" s="171"/>
      <c r="D8" s="171"/>
      <c r="E8" s="171"/>
      <c r="F8" s="171"/>
      <c r="G8" s="171"/>
      <c r="H8" s="173"/>
    </row>
    <row r="9" spans="1:15" x14ac:dyDescent="0.25">
      <c r="H9" s="177"/>
    </row>
    <row r="10" spans="1:15" ht="26.25" x14ac:dyDescent="0.25">
      <c r="H10" s="178"/>
    </row>
    <row r="11" spans="1:15" ht="26.25" x14ac:dyDescent="0.25">
      <c r="H11" s="179"/>
    </row>
    <row r="12" spans="1:15" x14ac:dyDescent="0.25">
      <c r="H12" s="177"/>
    </row>
    <row r="13" spans="1:15" x14ac:dyDescent="0.25">
      <c r="H13" s="177"/>
    </row>
    <row r="14" spans="1:15" x14ac:dyDescent="0.25">
      <c r="H14" s="177"/>
    </row>
    <row r="15" spans="1:15" x14ac:dyDescent="0.25">
      <c r="H15" s="177"/>
    </row>
  </sheetData>
  <sheetProtection sheet="1" objects="1" scenarios="1"/>
  <mergeCells count="2">
    <mergeCell ref="B3:H3"/>
    <mergeCell ref="A1:I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40B6E-0F8C-4DFE-B41C-081E93CBAE59}">
  <dimension ref="A1:AD15"/>
  <sheetViews>
    <sheetView workbookViewId="0">
      <selection activeCell="M24" sqref="M24"/>
    </sheetView>
  </sheetViews>
  <sheetFormatPr defaultRowHeight="15.75" x14ac:dyDescent="0.25"/>
  <sheetData>
    <row r="1" spans="1:30" x14ac:dyDescent="0.25">
      <c r="A1" t="s">
        <v>659</v>
      </c>
      <c r="B1" t="s">
        <v>660</v>
      </c>
      <c r="C1" t="s">
        <v>661</v>
      </c>
      <c r="D1" t="s">
        <v>662</v>
      </c>
      <c r="E1" t="s">
        <v>663</v>
      </c>
      <c r="F1" t="s">
        <v>664</v>
      </c>
      <c r="G1" t="s">
        <v>665</v>
      </c>
      <c r="H1" t="s">
        <v>666</v>
      </c>
      <c r="I1" t="s">
        <v>667</v>
      </c>
      <c r="J1" t="s">
        <v>668</v>
      </c>
      <c r="K1" t="s">
        <v>669</v>
      </c>
      <c r="L1" t="s">
        <v>670</v>
      </c>
      <c r="M1" t="s">
        <v>671</v>
      </c>
      <c r="N1" t="s">
        <v>672</v>
      </c>
      <c r="O1" t="s">
        <v>673</v>
      </c>
      <c r="P1" t="s">
        <v>674</v>
      </c>
      <c r="Q1" t="s">
        <v>675</v>
      </c>
      <c r="R1" t="s">
        <v>676</v>
      </c>
      <c r="S1" t="s">
        <v>677</v>
      </c>
      <c r="T1" t="s">
        <v>678</v>
      </c>
      <c r="U1" t="s">
        <v>679</v>
      </c>
      <c r="V1" t="s">
        <v>680</v>
      </c>
      <c r="W1" t="s">
        <v>681</v>
      </c>
      <c r="X1" t="s">
        <v>682</v>
      </c>
      <c r="Y1" t="s">
        <v>683</v>
      </c>
      <c r="Z1" t="s">
        <v>684</v>
      </c>
      <c r="AA1" t="s">
        <v>685</v>
      </c>
      <c r="AB1" t="s">
        <v>686</v>
      </c>
      <c r="AC1" t="s">
        <v>687</v>
      </c>
      <c r="AD1" t="s">
        <v>688</v>
      </c>
    </row>
    <row r="2" spans="1:30" x14ac:dyDescent="0.25">
      <c r="A2" t="s">
        <v>689</v>
      </c>
      <c r="B2">
        <v>108002</v>
      </c>
      <c r="C2">
        <v>118449</v>
      </c>
      <c r="D2">
        <v>55223</v>
      </c>
      <c r="E2">
        <v>258900</v>
      </c>
      <c r="F2">
        <v>426000</v>
      </c>
      <c r="G2">
        <v>23670</v>
      </c>
      <c r="H2">
        <v>6.6</v>
      </c>
      <c r="I2">
        <v>7.9020000000000001</v>
      </c>
      <c r="J2">
        <v>1.6419999999999999</v>
      </c>
      <c r="K2">
        <v>41399.967481972999</v>
      </c>
      <c r="L2">
        <v>972747.22377696598</v>
      </c>
      <c r="M2">
        <v>47643.098680541603</v>
      </c>
      <c r="N2">
        <v>1199499.30314938</v>
      </c>
      <c r="O2">
        <v>19998.618696327401</v>
      </c>
      <c r="P2">
        <v>19998.618696327401</v>
      </c>
      <c r="Q2">
        <v>1.19731934658756</v>
      </c>
      <c r="R2">
        <v>2.0478587589632098</v>
      </c>
      <c r="S2">
        <v>1.2301554640891501</v>
      </c>
      <c r="T2">
        <v>3.27793245300228</v>
      </c>
      <c r="U2">
        <v>1.1724383078817799</v>
      </c>
      <c r="V2">
        <v>1.1724383078817799</v>
      </c>
      <c r="W2">
        <v>0.41959999999999997</v>
      </c>
      <c r="X2">
        <v>0.58040000000000003</v>
      </c>
      <c r="Y2">
        <v>0.32150000000000001</v>
      </c>
      <c r="Z2">
        <v>0.67849999999999999</v>
      </c>
      <c r="AA2">
        <v>0.5</v>
      </c>
      <c r="AB2">
        <v>0.5</v>
      </c>
      <c r="AC2">
        <v>1</v>
      </c>
      <c r="AD2">
        <v>0</v>
      </c>
    </row>
    <row r="3" spans="1:30" x14ac:dyDescent="0.25">
      <c r="A3" t="s">
        <v>534</v>
      </c>
      <c r="B3">
        <v>87651</v>
      </c>
      <c r="C3">
        <v>95236</v>
      </c>
      <c r="D3">
        <v>45134</v>
      </c>
      <c r="E3">
        <v>258900</v>
      </c>
      <c r="F3">
        <v>423600</v>
      </c>
      <c r="G3">
        <v>23720</v>
      </c>
      <c r="H3">
        <v>6.6929999999999996</v>
      </c>
      <c r="I3">
        <v>7.9249999999999998</v>
      </c>
      <c r="J3">
        <v>1.6419999999999999</v>
      </c>
      <c r="K3">
        <v>40926.065973001103</v>
      </c>
      <c r="L3">
        <v>1000000</v>
      </c>
      <c r="M3">
        <v>46989.410860521501</v>
      </c>
      <c r="N3">
        <v>1202264.4346174099</v>
      </c>
      <c r="O3">
        <v>20044.720273651601</v>
      </c>
      <c r="P3">
        <v>20044.720273651601</v>
      </c>
      <c r="Q3">
        <v>1.1948406790678101</v>
      </c>
      <c r="R3">
        <v>2.0440899360023801</v>
      </c>
      <c r="S3">
        <v>1.2210403058591299</v>
      </c>
      <c r="T3">
        <v>3.2568668220167001</v>
      </c>
      <c r="U3">
        <v>1.1718445377137401</v>
      </c>
      <c r="V3">
        <v>1.1718445377137401</v>
      </c>
      <c r="W3">
        <v>0.4234</v>
      </c>
      <c r="X3">
        <v>0.5766</v>
      </c>
      <c r="Y3">
        <v>0.32219999999999999</v>
      </c>
      <c r="Z3">
        <v>0.67779999999999996</v>
      </c>
      <c r="AA3">
        <v>0.5</v>
      </c>
      <c r="AB3">
        <v>0.5</v>
      </c>
      <c r="AC3">
        <v>1</v>
      </c>
      <c r="AD3">
        <v>0</v>
      </c>
    </row>
    <row r="4" spans="1:30" x14ac:dyDescent="0.25">
      <c r="A4" t="s">
        <v>535</v>
      </c>
      <c r="B4">
        <v>84564</v>
      </c>
      <c r="C4">
        <v>92466</v>
      </c>
      <c r="D4">
        <v>43121</v>
      </c>
      <c r="E4">
        <v>267400</v>
      </c>
      <c r="F4">
        <v>441400</v>
      </c>
      <c r="G4">
        <v>23620</v>
      </c>
      <c r="H4">
        <v>6.7</v>
      </c>
      <c r="I4">
        <v>7.9249999999999998</v>
      </c>
      <c r="J4">
        <v>1.641</v>
      </c>
      <c r="K4">
        <v>40926.065973001103</v>
      </c>
      <c r="L4">
        <v>995405.41735152702</v>
      </c>
      <c r="M4">
        <v>47643.098680541603</v>
      </c>
      <c r="N4">
        <v>1216186.00064637</v>
      </c>
      <c r="O4">
        <v>19906.733389871901</v>
      </c>
      <c r="P4">
        <v>19906.733389871901</v>
      </c>
      <c r="Q4">
        <v>1.19729177760817</v>
      </c>
      <c r="R4">
        <v>2.0625286978465698</v>
      </c>
      <c r="S4">
        <v>1.22984392440517</v>
      </c>
      <c r="T4">
        <v>3.2877591870669698</v>
      </c>
      <c r="U4">
        <v>1.1716556739113</v>
      </c>
      <c r="V4">
        <v>1.1716556739113</v>
      </c>
      <c r="W4">
        <v>0.41220000000000001</v>
      </c>
      <c r="X4">
        <v>0.58779999999999999</v>
      </c>
      <c r="Y4">
        <v>0.31319999999999998</v>
      </c>
      <c r="Z4">
        <v>0.68679999999999997</v>
      </c>
      <c r="AA4">
        <v>0.5</v>
      </c>
      <c r="AB4">
        <v>0.5</v>
      </c>
      <c r="AC4">
        <v>1</v>
      </c>
      <c r="AD4">
        <v>0</v>
      </c>
    </row>
    <row r="5" spans="1:30" x14ac:dyDescent="0.25">
      <c r="A5" t="s">
        <v>536</v>
      </c>
      <c r="B5">
        <v>74025</v>
      </c>
      <c r="C5">
        <v>81020</v>
      </c>
      <c r="D5">
        <v>37721</v>
      </c>
      <c r="E5">
        <v>269300</v>
      </c>
      <c r="F5">
        <v>451000</v>
      </c>
      <c r="G5">
        <v>23530</v>
      </c>
      <c r="H5">
        <v>6.7370000000000001</v>
      </c>
      <c r="I5">
        <v>7.9950000000000001</v>
      </c>
      <c r="J5">
        <v>1.643</v>
      </c>
      <c r="K5">
        <v>41020.410298660703</v>
      </c>
      <c r="L5">
        <v>1016248.69287069</v>
      </c>
      <c r="M5">
        <v>47097.732639695299</v>
      </c>
      <c r="N5">
        <v>1241652.3075924099</v>
      </c>
      <c r="O5">
        <v>19860.949173573699</v>
      </c>
      <c r="P5">
        <v>19860.949173573699</v>
      </c>
      <c r="Q5">
        <v>1.1971815080383801</v>
      </c>
      <c r="R5">
        <v>2.0549440413453</v>
      </c>
      <c r="S5">
        <v>1.2247571965316</v>
      </c>
      <c r="T5">
        <v>3.28548886770972</v>
      </c>
      <c r="U5">
        <v>1.17125106825492</v>
      </c>
      <c r="V5">
        <v>1.17125106825492</v>
      </c>
      <c r="W5">
        <v>0.41399999999999998</v>
      </c>
      <c r="X5">
        <v>0.58599999999999997</v>
      </c>
      <c r="Y5">
        <v>0.31009999999999999</v>
      </c>
      <c r="Z5">
        <v>0.68989999999999996</v>
      </c>
      <c r="AA5">
        <v>0.5</v>
      </c>
      <c r="AB5">
        <v>0.5</v>
      </c>
      <c r="AC5">
        <v>1</v>
      </c>
      <c r="AD5">
        <v>0</v>
      </c>
    </row>
    <row r="6" spans="1:30" x14ac:dyDescent="0.25">
      <c r="A6" t="s">
        <v>537</v>
      </c>
      <c r="B6">
        <v>82817</v>
      </c>
      <c r="C6">
        <v>91261</v>
      </c>
      <c r="D6">
        <v>42260</v>
      </c>
      <c r="E6">
        <v>260500</v>
      </c>
      <c r="F6">
        <v>447100</v>
      </c>
      <c r="G6">
        <v>23660</v>
      </c>
      <c r="H6">
        <v>6.5890000000000004</v>
      </c>
      <c r="I6">
        <v>7.9039999999999999</v>
      </c>
      <c r="J6">
        <v>1.645</v>
      </c>
      <c r="K6">
        <v>41304.750199016104</v>
      </c>
      <c r="L6">
        <v>977237.22095581098</v>
      </c>
      <c r="M6">
        <v>46989.410860521501</v>
      </c>
      <c r="N6">
        <v>1213388.8504649799</v>
      </c>
      <c r="O6">
        <v>19906.733389871901</v>
      </c>
      <c r="P6">
        <v>19906.733389871901</v>
      </c>
      <c r="Q6">
        <v>1.19530847841654</v>
      </c>
      <c r="R6">
        <v>2.02721588206966</v>
      </c>
      <c r="S6">
        <v>1.2261115965411999</v>
      </c>
      <c r="T6">
        <v>3.2613694594087899</v>
      </c>
      <c r="U6">
        <v>1.17338356236274</v>
      </c>
      <c r="V6">
        <v>1.17338356236274</v>
      </c>
      <c r="W6">
        <v>0.41839999999999999</v>
      </c>
      <c r="X6">
        <v>0.58160000000000001</v>
      </c>
      <c r="Y6">
        <v>0.30759999999999998</v>
      </c>
      <c r="Z6">
        <v>0.69240000000000002</v>
      </c>
      <c r="AA6">
        <v>0.5</v>
      </c>
      <c r="AB6">
        <v>0.5</v>
      </c>
      <c r="AC6">
        <v>1</v>
      </c>
      <c r="AD6">
        <v>0</v>
      </c>
    </row>
    <row r="7" spans="1:30" x14ac:dyDescent="0.25">
      <c r="A7" t="s">
        <v>538</v>
      </c>
      <c r="B7">
        <v>96896</v>
      </c>
      <c r="C7">
        <v>107541</v>
      </c>
      <c r="D7">
        <v>49918</v>
      </c>
      <c r="E7">
        <v>258800</v>
      </c>
      <c r="F7">
        <v>444700</v>
      </c>
      <c r="G7">
        <v>24070</v>
      </c>
      <c r="H7">
        <v>6.6319999999999997</v>
      </c>
      <c r="I7">
        <v>8.06</v>
      </c>
      <c r="J7">
        <v>1.6830000000000001</v>
      </c>
      <c r="K7">
        <v>40926.065973001103</v>
      </c>
      <c r="L7">
        <v>979489.98540869798</v>
      </c>
      <c r="M7">
        <v>46773.514128719798</v>
      </c>
      <c r="N7">
        <v>1253141.1749414201</v>
      </c>
      <c r="O7">
        <v>20137.242498623898</v>
      </c>
      <c r="P7">
        <v>295801.24665515497</v>
      </c>
      <c r="Q7">
        <v>1.19682320206978</v>
      </c>
      <c r="R7">
        <v>2.0384497026427502</v>
      </c>
      <c r="S7">
        <v>1.2221654436071601</v>
      </c>
      <c r="T7">
        <v>3.29685616356891</v>
      </c>
      <c r="U7">
        <v>1.1781212784456701</v>
      </c>
      <c r="V7">
        <v>1.23677301255336</v>
      </c>
      <c r="W7">
        <v>0.41970000000000002</v>
      </c>
      <c r="X7">
        <v>0.58030000000000004</v>
      </c>
      <c r="Y7">
        <v>0.31569999999999998</v>
      </c>
      <c r="Z7">
        <v>0.68430000000000002</v>
      </c>
      <c r="AA7">
        <v>0.99790000000000001</v>
      </c>
      <c r="AB7">
        <v>2.0699999999999998E-3</v>
      </c>
      <c r="AC7">
        <v>1</v>
      </c>
      <c r="AD7">
        <v>0</v>
      </c>
    </row>
    <row r="8" spans="1:30" x14ac:dyDescent="0.25">
      <c r="A8" t="s">
        <v>539</v>
      </c>
      <c r="B8">
        <v>91143</v>
      </c>
      <c r="C8">
        <v>100092</v>
      </c>
      <c r="D8">
        <v>47442</v>
      </c>
      <c r="E8">
        <v>264900</v>
      </c>
      <c r="F8">
        <v>441800</v>
      </c>
      <c r="G8">
        <v>24330</v>
      </c>
      <c r="H8">
        <v>6.5839999999999996</v>
      </c>
      <c r="I8">
        <v>7.9180000000000001</v>
      </c>
      <c r="J8">
        <v>1.7410000000000001</v>
      </c>
      <c r="K8">
        <v>41114.972110452203</v>
      </c>
      <c r="L8">
        <v>974989.63771738706</v>
      </c>
      <c r="M8">
        <v>46665.938031428799</v>
      </c>
      <c r="N8">
        <v>1202264.4346174099</v>
      </c>
      <c r="O8">
        <v>20044.720273651601</v>
      </c>
      <c r="P8">
        <v>200909.28126087299</v>
      </c>
      <c r="Q8">
        <v>1.1978432778258601</v>
      </c>
      <c r="R8">
        <v>2.0230191786782701</v>
      </c>
      <c r="S8">
        <v>1.21848447470011</v>
      </c>
      <c r="T8">
        <v>3.28624546658205</v>
      </c>
      <c r="U8">
        <v>1.18032063565173</v>
      </c>
      <c r="V8">
        <v>1.3915537948446699</v>
      </c>
      <c r="W8">
        <v>0.41189999999999999</v>
      </c>
      <c r="X8">
        <v>0.58809999999999996</v>
      </c>
      <c r="Y8">
        <v>0.30840000000000001</v>
      </c>
      <c r="Z8">
        <v>0.69159999999999999</v>
      </c>
      <c r="AA8">
        <v>0.99199999999999999</v>
      </c>
      <c r="AB8">
        <v>7.9780000000000007E-3</v>
      </c>
      <c r="AC8">
        <v>1</v>
      </c>
      <c r="AD8">
        <v>0</v>
      </c>
    </row>
    <row r="9" spans="1:30" x14ac:dyDescent="0.25">
      <c r="A9" t="s">
        <v>540</v>
      </c>
      <c r="B9">
        <v>94678</v>
      </c>
      <c r="C9">
        <v>104177</v>
      </c>
      <c r="D9">
        <v>51663</v>
      </c>
      <c r="E9">
        <v>266900</v>
      </c>
      <c r="F9">
        <v>457300</v>
      </c>
      <c r="G9">
        <v>27010</v>
      </c>
      <c r="H9">
        <v>6.6029999999999998</v>
      </c>
      <c r="I9">
        <v>8.0860000000000003</v>
      </c>
      <c r="J9">
        <v>2.024</v>
      </c>
      <c r="K9">
        <v>41020.410298660703</v>
      </c>
      <c r="L9">
        <v>1000000</v>
      </c>
      <c r="M9">
        <v>46773.514128719798</v>
      </c>
      <c r="N9">
        <v>1258925.41179417</v>
      </c>
      <c r="O9">
        <v>20417.3794466953</v>
      </c>
      <c r="P9">
        <v>109395.63662720899</v>
      </c>
      <c r="Q9">
        <v>1.1955837400543801</v>
      </c>
      <c r="R9">
        <v>1.9733312795364999</v>
      </c>
      <c r="S9">
        <v>1.21593399330136</v>
      </c>
      <c r="T9">
        <v>3.3519690502216299</v>
      </c>
      <c r="U9">
        <v>1.1887485494351899</v>
      </c>
      <c r="V9">
        <v>1.7774606706429601</v>
      </c>
      <c r="W9">
        <v>0.41389999999999999</v>
      </c>
      <c r="X9">
        <v>0.58609999999999995</v>
      </c>
      <c r="Y9">
        <v>0.308</v>
      </c>
      <c r="Z9">
        <v>0.69199999999999995</v>
      </c>
      <c r="AA9">
        <v>0.93969999999999998</v>
      </c>
      <c r="AB9">
        <v>6.0330000000000002E-2</v>
      </c>
      <c r="AC9">
        <v>1</v>
      </c>
      <c r="AD9">
        <v>0</v>
      </c>
    </row>
    <row r="10" spans="1:30" x14ac:dyDescent="0.25">
      <c r="A10" t="s">
        <v>541</v>
      </c>
      <c r="B10">
        <v>74300</v>
      </c>
      <c r="C10">
        <v>81590</v>
      </c>
      <c r="D10">
        <v>47329</v>
      </c>
      <c r="E10">
        <v>251200</v>
      </c>
      <c r="F10">
        <v>478700</v>
      </c>
      <c r="G10">
        <v>40120</v>
      </c>
      <c r="H10">
        <v>6.3</v>
      </c>
      <c r="I10">
        <v>8.2029999999999994</v>
      </c>
      <c r="J10">
        <v>3.09</v>
      </c>
      <c r="K10">
        <v>41020.410298660703</v>
      </c>
      <c r="L10">
        <v>912010.83935590996</v>
      </c>
      <c r="M10">
        <v>46451.527522274897</v>
      </c>
      <c r="N10">
        <v>1261827.5345906699</v>
      </c>
      <c r="O10">
        <v>20653.801558105301</v>
      </c>
      <c r="P10">
        <v>151705.03674593399</v>
      </c>
      <c r="Q10">
        <v>1.19580399500377</v>
      </c>
      <c r="R10">
        <v>1.92043671394335</v>
      </c>
      <c r="S10">
        <v>1.22033762082599</v>
      </c>
      <c r="T10">
        <v>3.5026762691381301</v>
      </c>
      <c r="U10">
        <v>1.1912145789822699</v>
      </c>
      <c r="V10">
        <v>1.9706069039891101</v>
      </c>
      <c r="W10">
        <v>0.41610000000000003</v>
      </c>
      <c r="X10">
        <v>0.58389999999999997</v>
      </c>
      <c r="Y10">
        <v>0.29409999999999997</v>
      </c>
      <c r="Z10">
        <v>0.70589999999999997</v>
      </c>
      <c r="AA10">
        <v>0.7631</v>
      </c>
      <c r="AB10">
        <v>0.2369</v>
      </c>
      <c r="AC10">
        <v>1</v>
      </c>
      <c r="AD10">
        <v>0</v>
      </c>
    </row>
    <row r="11" spans="1:30" x14ac:dyDescent="0.25">
      <c r="A11" t="s">
        <v>542</v>
      </c>
      <c r="B11">
        <v>78721</v>
      </c>
      <c r="C11">
        <v>87489</v>
      </c>
      <c r="D11">
        <v>53901</v>
      </c>
      <c r="E11">
        <v>241100</v>
      </c>
      <c r="F11">
        <v>488600</v>
      </c>
      <c r="G11">
        <v>52000</v>
      </c>
      <c r="H11">
        <v>6.0220000000000002</v>
      </c>
      <c r="I11">
        <v>8.2210000000000001</v>
      </c>
      <c r="J11">
        <v>3.726</v>
      </c>
      <c r="K11">
        <v>40644.3329165213</v>
      </c>
      <c r="L11">
        <v>816582.37135859195</v>
      </c>
      <c r="M11">
        <v>47315.125896147998</v>
      </c>
      <c r="N11">
        <v>1315224.8321922401</v>
      </c>
      <c r="O11">
        <v>21037.7843976648</v>
      </c>
      <c r="P11">
        <v>191866.87406702901</v>
      </c>
      <c r="Q11">
        <v>1.1954185754659801</v>
      </c>
      <c r="R11">
        <v>1.90985325856624</v>
      </c>
      <c r="S11">
        <v>1.22687410463834</v>
      </c>
      <c r="T11">
        <v>3.4182199141765799</v>
      </c>
      <c r="U11">
        <v>1.19676808759357</v>
      </c>
      <c r="V11">
        <v>2.0587328767335298</v>
      </c>
      <c r="W11">
        <v>0.40679999999999999</v>
      </c>
      <c r="X11">
        <v>0.59319999999999995</v>
      </c>
      <c r="Y11">
        <v>0.29830000000000001</v>
      </c>
      <c r="Z11">
        <v>0.70169999999999999</v>
      </c>
      <c r="AA11">
        <v>0.67930000000000001</v>
      </c>
      <c r="AB11">
        <v>0.32069999999999999</v>
      </c>
      <c r="AC11">
        <v>1</v>
      </c>
      <c r="AD11">
        <v>0</v>
      </c>
    </row>
    <row r="12" spans="1:30" x14ac:dyDescent="0.25">
      <c r="A12" t="s">
        <v>543</v>
      </c>
      <c r="B12">
        <v>85881</v>
      </c>
      <c r="C12">
        <v>95522</v>
      </c>
      <c r="D12">
        <v>65893</v>
      </c>
      <c r="E12">
        <v>218500</v>
      </c>
      <c r="F12">
        <v>482700</v>
      </c>
      <c r="G12">
        <v>73320</v>
      </c>
      <c r="H12">
        <v>5.7229999999999999</v>
      </c>
      <c r="I12">
        <v>8.0380000000000003</v>
      </c>
      <c r="J12">
        <v>4.5679999999999996</v>
      </c>
      <c r="K12">
        <v>41495.4042634363</v>
      </c>
      <c r="L12">
        <v>726105.95743515401</v>
      </c>
      <c r="M12">
        <v>48194.779762512699</v>
      </c>
      <c r="N12">
        <v>1294195.8414499899</v>
      </c>
      <c r="O12">
        <v>21428.906011200601</v>
      </c>
      <c r="P12">
        <v>255858.588690565</v>
      </c>
      <c r="Q12">
        <v>1.19707124862433</v>
      </c>
      <c r="R12">
        <v>1.9208789617520201</v>
      </c>
      <c r="S12">
        <v>1.2314024122062199</v>
      </c>
      <c r="T12">
        <v>3.3052171686998002</v>
      </c>
      <c r="U12">
        <v>1.1968783190841701</v>
      </c>
      <c r="V12">
        <v>2.1817249589882999</v>
      </c>
      <c r="W12">
        <v>0.42009999999999997</v>
      </c>
      <c r="X12">
        <v>0.57989999999999997</v>
      </c>
      <c r="Y12">
        <v>0.3004</v>
      </c>
      <c r="Z12">
        <v>0.6996</v>
      </c>
      <c r="AA12">
        <v>0.57920000000000005</v>
      </c>
      <c r="AB12">
        <v>0.42080000000000001</v>
      </c>
      <c r="AC12">
        <v>1</v>
      </c>
      <c r="AD12">
        <v>0</v>
      </c>
    </row>
    <row r="13" spans="1:30" x14ac:dyDescent="0.25">
      <c r="A13" t="s">
        <v>544</v>
      </c>
      <c r="B13">
        <v>93085</v>
      </c>
      <c r="C13">
        <v>107370</v>
      </c>
      <c r="D13">
        <v>82055</v>
      </c>
      <c r="E13">
        <v>181200</v>
      </c>
      <c r="F13">
        <v>588000</v>
      </c>
      <c r="G13">
        <v>116400</v>
      </c>
      <c r="H13">
        <v>5.157</v>
      </c>
      <c r="I13">
        <v>8.5229999999999997</v>
      </c>
      <c r="J13">
        <v>5.375</v>
      </c>
      <c r="K13">
        <v>39994.474976109799</v>
      </c>
      <c r="L13">
        <v>534564.35939697095</v>
      </c>
      <c r="M13">
        <v>48752.849010338599</v>
      </c>
      <c r="N13">
        <v>1552387.00995808</v>
      </c>
      <c r="O13">
        <v>21727.011788637399</v>
      </c>
      <c r="P13">
        <v>351560.44052829797</v>
      </c>
      <c r="Q13">
        <v>1.1907483818337401</v>
      </c>
      <c r="R13">
        <v>1.93463927449229</v>
      </c>
      <c r="S13">
        <v>1.22964571295946</v>
      </c>
      <c r="T13">
        <v>3.42688870432786</v>
      </c>
      <c r="U13">
        <v>1.20107464777454</v>
      </c>
      <c r="V13">
        <v>2.1717008433479901</v>
      </c>
      <c r="W13">
        <v>0.41760000000000003</v>
      </c>
      <c r="X13">
        <v>0.58240000000000003</v>
      </c>
      <c r="Y13">
        <v>0.28100000000000003</v>
      </c>
      <c r="Z13">
        <v>0.71899999999999997</v>
      </c>
      <c r="AA13">
        <v>0.4607</v>
      </c>
      <c r="AB13">
        <v>0.5393</v>
      </c>
      <c r="AC13">
        <v>1</v>
      </c>
      <c r="AD13">
        <v>0</v>
      </c>
    </row>
    <row r="14" spans="1:30" x14ac:dyDescent="0.25">
      <c r="A14" t="s">
        <v>545</v>
      </c>
      <c r="B14">
        <v>94904</v>
      </c>
      <c r="C14">
        <v>112405</v>
      </c>
      <c r="D14">
        <v>93725</v>
      </c>
      <c r="E14">
        <v>158900</v>
      </c>
      <c r="F14">
        <v>692900</v>
      </c>
      <c r="G14">
        <v>170900</v>
      </c>
      <c r="H14">
        <v>4.609</v>
      </c>
      <c r="I14">
        <v>8.3770000000000007</v>
      </c>
      <c r="J14">
        <v>5.7060000000000004</v>
      </c>
      <c r="K14">
        <v>40179.081084894002</v>
      </c>
      <c r="L14">
        <v>399024.90236214199</v>
      </c>
      <c r="M14">
        <v>52722.986142282301</v>
      </c>
      <c r="N14">
        <v>1710015.31509029</v>
      </c>
      <c r="O14">
        <v>22803.4207200042</v>
      </c>
      <c r="P14">
        <v>452897.57990362</v>
      </c>
      <c r="Q14">
        <v>1.1928614400909501</v>
      </c>
      <c r="R14">
        <v>1.9253070450776799</v>
      </c>
      <c r="S14">
        <v>1.2575058091756099</v>
      </c>
      <c r="T14">
        <v>3.3381050516598898</v>
      </c>
      <c r="U14">
        <v>1.2111557629827301</v>
      </c>
      <c r="V14">
        <v>2.0864116545630198</v>
      </c>
      <c r="W14">
        <v>0.4017</v>
      </c>
      <c r="X14">
        <v>0.59830000000000005</v>
      </c>
      <c r="Y14">
        <v>0.26019999999999999</v>
      </c>
      <c r="Z14">
        <v>0.73980000000000001</v>
      </c>
      <c r="AA14">
        <v>0.37690000000000001</v>
      </c>
      <c r="AB14">
        <v>0.62309999999999999</v>
      </c>
      <c r="AC14">
        <v>1</v>
      </c>
      <c r="AD14">
        <v>0</v>
      </c>
    </row>
    <row r="15" spans="1:30" x14ac:dyDescent="0.25">
      <c r="A15" t="s">
        <v>546</v>
      </c>
      <c r="B15">
        <v>98542</v>
      </c>
      <c r="C15">
        <v>118849</v>
      </c>
      <c r="D15">
        <v>103759</v>
      </c>
      <c r="E15">
        <v>145800</v>
      </c>
      <c r="F15">
        <v>766300</v>
      </c>
      <c r="G15">
        <v>209800</v>
      </c>
      <c r="H15">
        <v>4.2990000000000004</v>
      </c>
      <c r="I15">
        <v>8.2509999999999994</v>
      </c>
      <c r="J15">
        <v>5.6859999999999999</v>
      </c>
      <c r="K15">
        <v>41879.356511791797</v>
      </c>
      <c r="L15">
        <v>361409.86263961298</v>
      </c>
      <c r="M15">
        <v>54200.089040162398</v>
      </c>
      <c r="N15">
        <v>1811340.0926196</v>
      </c>
      <c r="O15">
        <v>24490.632418447502</v>
      </c>
      <c r="P15">
        <v>539510.62251512799</v>
      </c>
      <c r="Q15">
        <v>1.20312291898577</v>
      </c>
      <c r="R15">
        <v>1.84119590368765</v>
      </c>
      <c r="S15">
        <v>1.2685278312575701</v>
      </c>
      <c r="T15">
        <v>3.2351915531421001</v>
      </c>
      <c r="U15">
        <v>1.2309204870322099</v>
      </c>
      <c r="V15">
        <v>1.91646106273539</v>
      </c>
      <c r="W15">
        <v>0.42120000000000002</v>
      </c>
      <c r="X15">
        <v>0.57879999999999998</v>
      </c>
      <c r="Y15">
        <v>0.24560000000000001</v>
      </c>
      <c r="Z15">
        <v>0.75439999999999996</v>
      </c>
      <c r="AA15">
        <v>0.34860000000000002</v>
      </c>
      <c r="AB15">
        <v>0.65139999999999998</v>
      </c>
      <c r="AC15">
        <v>1</v>
      </c>
      <c r="AD15">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Experiment</vt:lpstr>
      <vt:lpstr>Samples</vt:lpstr>
      <vt:lpstr>Calibration</vt:lpstr>
      <vt:lpstr>Comparative Analysis</vt:lpstr>
      <vt:lpstr>Transfer Curve Analysis</vt:lpstr>
      <vt:lpstr>Optional Settings</vt:lpstr>
      <vt:lpstr>96w</vt:lpstr>
      <vt:lpstr>48w</vt:lpstr>
      <vt:lpstr>24w</vt:lpstr>
      <vt:lpstr>Batch 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2019-06-22T15:53:53Z</dcterms:modified>
</cp:coreProperties>
</file>